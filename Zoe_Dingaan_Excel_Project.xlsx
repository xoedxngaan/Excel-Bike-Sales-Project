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hidePivotFieldList="1" defaultThemeVersion="166925"/>
  <mc:AlternateContent xmlns:mc="http://schemas.openxmlformats.org/markup-compatibility/2006">
    <mc:Choice Requires="x15">
      <x15ac:absPath xmlns:x15ac="http://schemas.microsoft.com/office/spreadsheetml/2010/11/ac" url="https://d.docs.live.net/16d5997acf5d49cc/Documents/"/>
    </mc:Choice>
  </mc:AlternateContent>
  <xr:revisionPtr revIDLastSave="110" documentId="8_{8091DF29-FECC-0144-BA6E-6B4C5C5D534A}" xr6:coauthVersionLast="47" xr6:coauthVersionMax="47" xr10:uidLastSave="{252332EF-9294-2A4A-9715-1EB36D075A23}"/>
  <bookViews>
    <workbookView xWindow="0" yWindow="0" windowWidth="28800" windowHeight="1800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7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01" i="2" l="1"/>
  <c r="M1000" i="2"/>
  <c r="M999" i="2"/>
  <c r="M998" i="2"/>
  <c r="M997" i="2"/>
  <c r="M996" i="2"/>
  <c r="M995" i="2"/>
  <c r="M994" i="2"/>
  <c r="M993" i="2"/>
  <c r="M992" i="2"/>
  <c r="M991" i="2"/>
  <c r="M990" i="2"/>
  <c r="M989" i="2"/>
  <c r="M988" i="2"/>
  <c r="M987" i="2"/>
  <c r="M986" i="2"/>
  <c r="M985" i="2"/>
  <c r="M984" i="2"/>
  <c r="M983" i="2"/>
  <c r="M982" i="2"/>
  <c r="M981" i="2"/>
  <c r="M980" i="2"/>
  <c r="M979" i="2"/>
  <c r="M978" i="2"/>
  <c r="M977" i="2"/>
  <c r="M976" i="2"/>
  <c r="M975" i="2"/>
  <c r="M974" i="2"/>
  <c r="M973" i="2"/>
  <c r="M972" i="2"/>
  <c r="M971" i="2"/>
  <c r="M970" i="2"/>
  <c r="M969" i="2"/>
  <c r="M968" i="2"/>
  <c r="M967" i="2"/>
  <c r="M966" i="2"/>
  <c r="M965" i="2"/>
  <c r="M964" i="2"/>
  <c r="M963" i="2"/>
  <c r="M962" i="2"/>
  <c r="M961" i="2"/>
  <c r="M960" i="2"/>
  <c r="M959" i="2"/>
  <c r="M958" i="2"/>
  <c r="M957" i="2"/>
  <c r="M956" i="2"/>
  <c r="M955" i="2"/>
  <c r="M954" i="2"/>
  <c r="M953" i="2"/>
  <c r="M952" i="2"/>
  <c r="M951" i="2"/>
  <c r="M950" i="2"/>
  <c r="M949" i="2"/>
  <c r="M948" i="2"/>
  <c r="M947" i="2"/>
  <c r="M946" i="2"/>
  <c r="M945" i="2"/>
  <c r="M944" i="2"/>
  <c r="M943" i="2"/>
  <c r="M942" i="2"/>
  <c r="M941" i="2"/>
  <c r="M940" i="2"/>
  <c r="M939" i="2"/>
  <c r="M938" i="2"/>
  <c r="M937" i="2"/>
  <c r="M936" i="2"/>
  <c r="M935" i="2"/>
  <c r="M934" i="2"/>
  <c r="M933" i="2"/>
  <c r="M932" i="2"/>
  <c r="M931" i="2"/>
  <c r="M930" i="2"/>
  <c r="M929" i="2"/>
  <c r="M928" i="2"/>
  <c r="M927" i="2"/>
  <c r="M926" i="2"/>
  <c r="M925" i="2"/>
  <c r="M924" i="2"/>
  <c r="M923" i="2"/>
  <c r="M922" i="2"/>
  <c r="M921" i="2"/>
  <c r="M920" i="2"/>
  <c r="M919" i="2"/>
  <c r="M918" i="2"/>
  <c r="M917" i="2"/>
  <c r="M916" i="2"/>
  <c r="M915" i="2"/>
  <c r="M914" i="2"/>
  <c r="M913" i="2"/>
  <c r="M912" i="2"/>
  <c r="M911" i="2"/>
  <c r="M910" i="2"/>
  <c r="M909" i="2"/>
  <c r="M908" i="2"/>
  <c r="M907" i="2"/>
  <c r="M906" i="2"/>
  <c r="M905" i="2"/>
  <c r="M904" i="2"/>
  <c r="M903" i="2"/>
  <c r="M902" i="2"/>
  <c r="M901" i="2"/>
  <c r="M900" i="2"/>
  <c r="M899" i="2"/>
  <c r="M898" i="2"/>
  <c r="M897" i="2"/>
  <c r="M896" i="2"/>
  <c r="M895" i="2"/>
  <c r="M894" i="2"/>
  <c r="M893" i="2"/>
  <c r="M892" i="2"/>
  <c r="M891" i="2"/>
  <c r="M890" i="2"/>
  <c r="M889" i="2"/>
  <c r="M888" i="2"/>
  <c r="M887" i="2"/>
  <c r="M886" i="2"/>
  <c r="M885" i="2"/>
  <c r="M884" i="2"/>
  <c r="M883" i="2"/>
  <c r="M882" i="2"/>
  <c r="M881" i="2"/>
  <c r="M880" i="2"/>
  <c r="M879" i="2"/>
  <c r="M878" i="2"/>
  <c r="M877" i="2"/>
  <c r="M876" i="2"/>
  <c r="M875" i="2"/>
  <c r="M874" i="2"/>
  <c r="M873" i="2"/>
  <c r="M872" i="2"/>
  <c r="M871" i="2"/>
  <c r="M870" i="2"/>
  <c r="M869" i="2"/>
  <c r="M868" i="2"/>
  <c r="M867" i="2"/>
  <c r="M866" i="2"/>
  <c r="M865" i="2"/>
  <c r="M864" i="2"/>
  <c r="M863" i="2"/>
  <c r="M862" i="2"/>
  <c r="M861" i="2"/>
  <c r="M860" i="2"/>
  <c r="M859" i="2"/>
  <c r="M858" i="2"/>
  <c r="M857" i="2"/>
  <c r="M856" i="2"/>
  <c r="M855" i="2"/>
  <c r="M854" i="2"/>
  <c r="M853" i="2"/>
  <c r="M852" i="2"/>
  <c r="M851" i="2"/>
  <c r="M850" i="2"/>
  <c r="M849" i="2"/>
  <c r="M848" i="2"/>
  <c r="M847" i="2"/>
  <c r="M846" i="2"/>
  <c r="M845" i="2"/>
  <c r="M844" i="2"/>
  <c r="M843" i="2"/>
  <c r="M842" i="2"/>
  <c r="M841" i="2"/>
  <c r="M840" i="2"/>
  <c r="M839" i="2"/>
  <c r="M838" i="2"/>
  <c r="M837" i="2"/>
  <c r="M836" i="2"/>
  <c r="M835" i="2"/>
  <c r="M834" i="2"/>
  <c r="M833" i="2"/>
  <c r="M832" i="2"/>
  <c r="M831" i="2"/>
  <c r="M830" i="2"/>
  <c r="M829" i="2"/>
  <c r="M828" i="2"/>
  <c r="M827" i="2"/>
  <c r="M826" i="2"/>
  <c r="M825" i="2"/>
  <c r="M824" i="2"/>
  <c r="M823" i="2"/>
  <c r="M822" i="2"/>
  <c r="M821" i="2"/>
  <c r="M820" i="2"/>
  <c r="M819" i="2"/>
  <c r="M818" i="2"/>
  <c r="M817" i="2"/>
  <c r="M816" i="2"/>
  <c r="M815" i="2"/>
  <c r="M814" i="2"/>
  <c r="M813" i="2"/>
  <c r="M812" i="2"/>
  <c r="M811" i="2"/>
  <c r="M810" i="2"/>
  <c r="M809" i="2"/>
  <c r="M808" i="2"/>
  <c r="M807" i="2"/>
  <c r="M806" i="2"/>
  <c r="M805" i="2"/>
  <c r="M804" i="2"/>
  <c r="M803" i="2"/>
  <c r="M802" i="2"/>
  <c r="M801" i="2"/>
  <c r="M800" i="2"/>
  <c r="M799" i="2"/>
  <c r="M798" i="2"/>
  <c r="M797" i="2"/>
  <c r="M796" i="2"/>
  <c r="M795" i="2"/>
  <c r="M794" i="2"/>
  <c r="M793" i="2"/>
  <c r="M792" i="2"/>
  <c r="M791" i="2"/>
  <c r="M790" i="2"/>
  <c r="M789" i="2"/>
  <c r="M788" i="2"/>
  <c r="M787" i="2"/>
  <c r="M786" i="2"/>
  <c r="M785" i="2"/>
  <c r="M784" i="2"/>
  <c r="M783" i="2"/>
  <c r="M782" i="2"/>
  <c r="M781" i="2"/>
  <c r="M780" i="2"/>
  <c r="M779" i="2"/>
  <c r="M778" i="2"/>
  <c r="M777" i="2"/>
  <c r="M776" i="2"/>
  <c r="M775" i="2"/>
  <c r="M774" i="2"/>
  <c r="M773" i="2"/>
  <c r="M772" i="2"/>
  <c r="M771" i="2"/>
  <c r="M770" i="2"/>
  <c r="M769" i="2"/>
  <c r="M768" i="2"/>
  <c r="M767" i="2"/>
  <c r="M766" i="2"/>
  <c r="M765" i="2"/>
  <c r="M764" i="2"/>
  <c r="M763" i="2"/>
  <c r="M762" i="2"/>
  <c r="M761" i="2"/>
  <c r="M760" i="2"/>
  <c r="M759" i="2"/>
  <c r="M758" i="2"/>
  <c r="M757" i="2"/>
  <c r="M756" i="2"/>
  <c r="M755" i="2"/>
  <c r="M754" i="2"/>
  <c r="M753" i="2"/>
  <c r="M752" i="2"/>
  <c r="M751" i="2"/>
  <c r="M750" i="2"/>
  <c r="M749" i="2"/>
  <c r="M748" i="2"/>
  <c r="M747" i="2"/>
  <c r="M746" i="2"/>
  <c r="M745" i="2"/>
  <c r="M744" i="2"/>
  <c r="M743" i="2"/>
  <c r="M742" i="2"/>
  <c r="M741" i="2"/>
  <c r="M740" i="2"/>
  <c r="M739" i="2"/>
  <c r="M738" i="2"/>
  <c r="M737" i="2"/>
  <c r="M736" i="2"/>
  <c r="M735" i="2"/>
  <c r="M734" i="2"/>
  <c r="M733" i="2"/>
  <c r="M732" i="2"/>
  <c r="M731" i="2"/>
  <c r="M730" i="2"/>
  <c r="M729" i="2"/>
  <c r="M728" i="2"/>
  <c r="M727" i="2"/>
  <c r="M726" i="2"/>
  <c r="M725" i="2"/>
  <c r="M724" i="2"/>
  <c r="M723" i="2"/>
  <c r="M722" i="2"/>
  <c r="M721" i="2"/>
  <c r="M720" i="2"/>
  <c r="M719" i="2"/>
  <c r="M718" i="2"/>
  <c r="M717" i="2"/>
  <c r="M716" i="2"/>
  <c r="M715" i="2"/>
  <c r="M714" i="2"/>
  <c r="M713" i="2"/>
  <c r="M712" i="2"/>
  <c r="M711" i="2"/>
  <c r="M710" i="2"/>
  <c r="M709" i="2"/>
  <c r="M708" i="2"/>
  <c r="M707" i="2"/>
  <c r="M706" i="2"/>
  <c r="M705" i="2"/>
  <c r="M704" i="2"/>
  <c r="M703" i="2"/>
  <c r="M702" i="2"/>
  <c r="M701" i="2"/>
  <c r="M700" i="2"/>
  <c r="M699" i="2"/>
  <c r="M698" i="2"/>
  <c r="M697" i="2"/>
  <c r="M696" i="2"/>
  <c r="M695" i="2"/>
  <c r="M694" i="2"/>
  <c r="M693" i="2"/>
  <c r="M692" i="2"/>
  <c r="M691" i="2"/>
  <c r="M690" i="2"/>
  <c r="M689" i="2"/>
  <c r="M688" i="2"/>
  <c r="M687" i="2"/>
  <c r="M686" i="2"/>
  <c r="M685" i="2"/>
  <c r="M684" i="2"/>
  <c r="M683" i="2"/>
  <c r="M682" i="2"/>
  <c r="M681" i="2"/>
  <c r="M680" i="2"/>
  <c r="M679" i="2"/>
  <c r="M678" i="2"/>
  <c r="M677" i="2"/>
  <c r="M676" i="2"/>
  <c r="M675" i="2"/>
  <c r="M674" i="2"/>
  <c r="M673" i="2"/>
  <c r="M672" i="2"/>
  <c r="M671" i="2"/>
  <c r="M670" i="2"/>
  <c r="M669" i="2"/>
  <c r="M668" i="2"/>
  <c r="M667" i="2"/>
  <c r="M666" i="2"/>
  <c r="M665" i="2"/>
  <c r="M664" i="2"/>
  <c r="M663" i="2"/>
  <c r="M662" i="2"/>
  <c r="M661" i="2"/>
  <c r="M660" i="2"/>
  <c r="M659" i="2"/>
  <c r="M658" i="2"/>
  <c r="M657" i="2"/>
  <c r="M656" i="2"/>
  <c r="M655" i="2"/>
  <c r="M654" i="2"/>
  <c r="M653" i="2"/>
  <c r="M652" i="2"/>
  <c r="M651" i="2"/>
  <c r="M650" i="2"/>
  <c r="M649" i="2"/>
  <c r="M648" i="2"/>
  <c r="M647" i="2"/>
  <c r="M646" i="2"/>
  <c r="M645" i="2"/>
  <c r="M644" i="2"/>
  <c r="M643" i="2"/>
  <c r="M642" i="2"/>
  <c r="M641" i="2"/>
  <c r="M640" i="2"/>
  <c r="M639" i="2"/>
  <c r="M638" i="2"/>
  <c r="M637" i="2"/>
  <c r="M636" i="2"/>
  <c r="M635" i="2"/>
  <c r="M634" i="2"/>
  <c r="M633" i="2"/>
  <c r="M632" i="2"/>
  <c r="M631" i="2"/>
  <c r="M630" i="2"/>
  <c r="M629" i="2"/>
  <c r="M628" i="2"/>
  <c r="M627" i="2"/>
  <c r="M626" i="2"/>
  <c r="M625" i="2"/>
  <c r="M624" i="2"/>
  <c r="M623" i="2"/>
  <c r="M622" i="2"/>
  <c r="M621" i="2"/>
  <c r="M620" i="2"/>
  <c r="M619" i="2"/>
  <c r="M618" i="2"/>
  <c r="M617" i="2"/>
  <c r="M616" i="2"/>
  <c r="M615" i="2"/>
  <c r="M614" i="2"/>
  <c r="M613" i="2"/>
  <c r="M612" i="2"/>
  <c r="M611" i="2"/>
  <c r="M610" i="2"/>
  <c r="M609" i="2"/>
  <c r="M608" i="2"/>
  <c r="M607" i="2"/>
  <c r="M606" i="2"/>
  <c r="M605" i="2"/>
  <c r="M604" i="2"/>
  <c r="M603" i="2"/>
  <c r="M602" i="2"/>
  <c r="M601" i="2"/>
  <c r="M600" i="2"/>
  <c r="M599" i="2"/>
  <c r="M598" i="2"/>
  <c r="M597" i="2"/>
  <c r="M596" i="2"/>
  <c r="M595" i="2"/>
  <c r="M594" i="2"/>
  <c r="M593" i="2"/>
  <c r="M592" i="2"/>
  <c r="M591" i="2"/>
  <c r="M590" i="2"/>
  <c r="M589" i="2"/>
  <c r="M588" i="2"/>
  <c r="M587" i="2"/>
  <c r="M586" i="2"/>
  <c r="M585" i="2"/>
  <c r="M584" i="2"/>
  <c r="M583" i="2"/>
  <c r="M582" i="2"/>
  <c r="M581" i="2"/>
  <c r="M580" i="2"/>
  <c r="M579" i="2"/>
  <c r="M578" i="2"/>
  <c r="M577" i="2"/>
  <c r="M576" i="2"/>
  <c r="M575" i="2"/>
  <c r="M574" i="2"/>
  <c r="M573" i="2"/>
  <c r="M572" i="2"/>
  <c r="M571" i="2"/>
  <c r="M570" i="2"/>
  <c r="M569" i="2"/>
  <c r="M568" i="2"/>
  <c r="M567" i="2"/>
  <c r="M566" i="2"/>
  <c r="M565" i="2"/>
  <c r="M564" i="2"/>
  <c r="M563" i="2"/>
  <c r="M562" i="2"/>
  <c r="M561" i="2"/>
  <c r="M560" i="2"/>
  <c r="M559" i="2"/>
  <c r="M558" i="2"/>
  <c r="M557" i="2"/>
  <c r="M556" i="2"/>
  <c r="M555" i="2"/>
  <c r="M554" i="2"/>
  <c r="M553" i="2"/>
  <c r="M552" i="2"/>
  <c r="M551" i="2"/>
  <c r="M550" i="2"/>
  <c r="M549" i="2"/>
  <c r="M548" i="2"/>
  <c r="M547" i="2"/>
  <c r="M546" i="2"/>
  <c r="M545" i="2"/>
  <c r="M544" i="2"/>
  <c r="M543" i="2"/>
  <c r="M542" i="2"/>
  <c r="M541" i="2"/>
  <c r="M540" i="2"/>
  <c r="M539" i="2"/>
  <c r="M538" i="2"/>
  <c r="M537" i="2"/>
  <c r="M536" i="2"/>
  <c r="M535" i="2"/>
  <c r="M534" i="2"/>
  <c r="M533" i="2"/>
  <c r="M532" i="2"/>
  <c r="M531" i="2"/>
  <c r="M530" i="2"/>
  <c r="M529" i="2"/>
  <c r="M528" i="2"/>
  <c r="M527" i="2"/>
  <c r="M526" i="2"/>
  <c r="M525" i="2"/>
  <c r="M524" i="2"/>
  <c r="M523" i="2"/>
  <c r="M522" i="2"/>
  <c r="M521" i="2"/>
  <c r="M520" i="2"/>
  <c r="M519" i="2"/>
  <c r="M518" i="2"/>
  <c r="M517" i="2"/>
  <c r="M516" i="2"/>
  <c r="M515" i="2"/>
  <c r="M514" i="2"/>
  <c r="M513" i="2"/>
  <c r="M512" i="2"/>
  <c r="M511" i="2"/>
  <c r="M510" i="2"/>
  <c r="M509" i="2"/>
  <c r="M508" i="2"/>
  <c r="M507" i="2"/>
  <c r="M506" i="2"/>
  <c r="M505" i="2"/>
  <c r="M504" i="2"/>
  <c r="M503" i="2"/>
  <c r="M502" i="2"/>
  <c r="M501" i="2"/>
  <c r="M500" i="2"/>
  <c r="M499" i="2"/>
  <c r="M498" i="2"/>
  <c r="M497" i="2"/>
  <c r="M496" i="2"/>
  <c r="M495" i="2"/>
  <c r="M494" i="2"/>
  <c r="M493" i="2"/>
  <c r="M492" i="2"/>
  <c r="M491" i="2"/>
  <c r="M490" i="2"/>
  <c r="M489" i="2"/>
  <c r="M488" i="2"/>
  <c r="M487" i="2"/>
  <c r="M486" i="2"/>
  <c r="M485" i="2"/>
  <c r="M484" i="2"/>
  <c r="M483" i="2"/>
  <c r="M482" i="2"/>
  <c r="M481" i="2"/>
  <c r="M480" i="2"/>
  <c r="M479" i="2"/>
  <c r="M478" i="2"/>
  <c r="M477" i="2"/>
  <c r="M476" i="2"/>
  <c r="M475" i="2"/>
  <c r="M474" i="2"/>
  <c r="M473" i="2"/>
  <c r="M472" i="2"/>
  <c r="M471" i="2"/>
  <c r="M470" i="2"/>
  <c r="M469" i="2"/>
  <c r="M468" i="2"/>
  <c r="M467" i="2"/>
  <c r="M466" i="2"/>
  <c r="M465" i="2"/>
  <c r="M464" i="2"/>
  <c r="M463" i="2"/>
  <c r="M462" i="2"/>
  <c r="M461" i="2"/>
  <c r="M460" i="2"/>
  <c r="M459" i="2"/>
  <c r="M458" i="2"/>
  <c r="M457" i="2"/>
  <c r="M456" i="2"/>
  <c r="M455" i="2"/>
  <c r="M454" i="2"/>
  <c r="M453" i="2"/>
  <c r="M452" i="2"/>
  <c r="M451" i="2"/>
  <c r="M450" i="2"/>
  <c r="M449" i="2"/>
  <c r="M448" i="2"/>
  <c r="M447" i="2"/>
  <c r="M446" i="2"/>
  <c r="M445" i="2"/>
  <c r="M444" i="2"/>
  <c r="M443" i="2"/>
  <c r="M442" i="2"/>
  <c r="M441" i="2"/>
  <c r="M440" i="2"/>
  <c r="M439" i="2"/>
  <c r="M438" i="2"/>
  <c r="M437" i="2"/>
  <c r="M436" i="2"/>
  <c r="M435" i="2"/>
  <c r="M434" i="2"/>
  <c r="M433" i="2"/>
  <c r="M432" i="2"/>
  <c r="M431" i="2"/>
  <c r="M430" i="2"/>
  <c r="M429" i="2"/>
  <c r="M428" i="2"/>
  <c r="M427" i="2"/>
  <c r="M426" i="2"/>
  <c r="M425" i="2"/>
  <c r="M424" i="2"/>
  <c r="M423" i="2"/>
  <c r="M422" i="2"/>
  <c r="M421" i="2"/>
  <c r="M420" i="2"/>
  <c r="M419" i="2"/>
  <c r="M418" i="2"/>
  <c r="M417" i="2"/>
  <c r="M416" i="2"/>
  <c r="M415" i="2"/>
  <c r="M414" i="2"/>
  <c r="M413" i="2"/>
  <c r="M412" i="2"/>
  <c r="M411" i="2"/>
  <c r="M410" i="2"/>
  <c r="M409" i="2"/>
  <c r="M408" i="2"/>
  <c r="M407" i="2"/>
  <c r="M406" i="2"/>
  <c r="M405" i="2"/>
  <c r="M404" i="2"/>
  <c r="M403" i="2"/>
  <c r="M402" i="2"/>
  <c r="M401" i="2"/>
  <c r="M400" i="2"/>
  <c r="M399" i="2"/>
  <c r="M398" i="2"/>
  <c r="M397" i="2"/>
  <c r="M396" i="2"/>
  <c r="M395" i="2"/>
  <c r="M394" i="2"/>
  <c r="M393" i="2"/>
  <c r="M392" i="2"/>
  <c r="M391" i="2"/>
  <c r="M390" i="2"/>
  <c r="M389" i="2"/>
  <c r="M388" i="2"/>
  <c r="M387" i="2"/>
  <c r="M386" i="2"/>
  <c r="M385" i="2"/>
  <c r="M384" i="2"/>
  <c r="M383" i="2"/>
  <c r="M382" i="2"/>
  <c r="M381" i="2"/>
  <c r="M380" i="2"/>
  <c r="M379" i="2"/>
  <c r="M378" i="2"/>
  <c r="M377" i="2"/>
  <c r="M376" i="2"/>
  <c r="M375" i="2"/>
  <c r="M374" i="2"/>
  <c r="M373" i="2"/>
  <c r="M372" i="2"/>
  <c r="M371" i="2"/>
  <c r="M370" i="2"/>
  <c r="M369" i="2"/>
  <c r="M368" i="2"/>
  <c r="M367" i="2"/>
  <c r="M366" i="2"/>
  <c r="M365" i="2"/>
  <c r="M364" i="2"/>
  <c r="M363" i="2"/>
  <c r="M362" i="2"/>
  <c r="M361" i="2"/>
  <c r="M360" i="2"/>
  <c r="M359" i="2"/>
  <c r="M358" i="2"/>
  <c r="M357" i="2"/>
  <c r="M356" i="2"/>
  <c r="M355" i="2"/>
  <c r="M354" i="2"/>
  <c r="M353" i="2"/>
  <c r="M352" i="2"/>
  <c r="M351" i="2"/>
  <c r="M350" i="2"/>
  <c r="M349" i="2"/>
  <c r="M348" i="2"/>
  <c r="M347" i="2"/>
  <c r="M346" i="2"/>
  <c r="M345" i="2"/>
  <c r="M344" i="2"/>
  <c r="M343" i="2"/>
  <c r="M342" i="2"/>
  <c r="M341" i="2"/>
  <c r="M340" i="2"/>
  <c r="M339" i="2"/>
  <c r="M338" i="2"/>
  <c r="M337" i="2"/>
  <c r="M336" i="2"/>
  <c r="M335" i="2"/>
  <c r="M334" i="2"/>
  <c r="M333" i="2"/>
  <c r="M332" i="2"/>
  <c r="M331" i="2"/>
  <c r="M330" i="2"/>
  <c r="M329" i="2"/>
  <c r="M328" i="2"/>
  <c r="M327" i="2"/>
  <c r="M326" i="2"/>
  <c r="M325" i="2"/>
  <c r="M324" i="2"/>
  <c r="M323" i="2"/>
  <c r="M322" i="2"/>
  <c r="M321" i="2"/>
  <c r="M320" i="2"/>
  <c r="M319" i="2"/>
  <c r="M318" i="2"/>
  <c r="M317" i="2"/>
  <c r="M316" i="2"/>
  <c r="M315" i="2"/>
  <c r="M314" i="2"/>
  <c r="M313" i="2"/>
  <c r="M312" i="2"/>
  <c r="M311" i="2"/>
  <c r="M310" i="2"/>
  <c r="M309" i="2"/>
  <c r="M308" i="2"/>
  <c r="M307" i="2"/>
  <c r="M306" i="2"/>
  <c r="M305" i="2"/>
  <c r="M304" i="2"/>
  <c r="M303" i="2"/>
  <c r="M302" i="2"/>
  <c r="M301" i="2"/>
  <c r="M300" i="2"/>
  <c r="M299" i="2"/>
  <c r="M298" i="2"/>
  <c r="M297" i="2"/>
  <c r="M296" i="2"/>
  <c r="M295" i="2"/>
  <c r="M294" i="2"/>
  <c r="M293" i="2"/>
  <c r="M292" i="2"/>
  <c r="M291" i="2"/>
  <c r="M290" i="2"/>
  <c r="M289" i="2"/>
  <c r="M288" i="2"/>
  <c r="M287" i="2"/>
  <c r="M286" i="2"/>
  <c r="M285" i="2"/>
  <c r="M284" i="2"/>
  <c r="M283" i="2"/>
  <c r="M282" i="2"/>
  <c r="M281" i="2"/>
  <c r="M280" i="2"/>
  <c r="M279" i="2"/>
  <c r="M278" i="2"/>
  <c r="M277" i="2"/>
  <c r="M276" i="2"/>
  <c r="M275" i="2"/>
  <c r="M274" i="2"/>
  <c r="M273" i="2"/>
  <c r="M272" i="2"/>
  <c r="M271" i="2"/>
  <c r="M270" i="2"/>
  <c r="M269" i="2"/>
  <c r="M268" i="2"/>
  <c r="M267" i="2"/>
  <c r="M266" i="2"/>
  <c r="M265" i="2"/>
  <c r="M264" i="2"/>
  <c r="M263" i="2"/>
  <c r="M262" i="2"/>
  <c r="M261" i="2"/>
  <c r="M260" i="2"/>
  <c r="M259" i="2"/>
  <c r="M258" i="2"/>
  <c r="M257" i="2"/>
  <c r="M256" i="2"/>
  <c r="M255" i="2"/>
  <c r="M254" i="2"/>
  <c r="M253" i="2"/>
  <c r="M252" i="2"/>
  <c r="M251" i="2"/>
  <c r="M250" i="2"/>
  <c r="M249" i="2"/>
  <c r="M248" i="2"/>
  <c r="M247" i="2"/>
  <c r="M246" i="2"/>
  <c r="M245" i="2"/>
  <c r="M244" i="2"/>
  <c r="M243" i="2"/>
  <c r="M242" i="2"/>
  <c r="M241" i="2"/>
  <c r="M240" i="2"/>
  <c r="M239" i="2"/>
  <c r="M238" i="2"/>
  <c r="M237" i="2"/>
  <c r="M236" i="2"/>
  <c r="M235" i="2"/>
  <c r="M234" i="2"/>
  <c r="M233" i="2"/>
  <c r="M232" i="2"/>
  <c r="M231" i="2"/>
  <c r="M230" i="2"/>
  <c r="M229" i="2"/>
  <c r="M228" i="2"/>
  <c r="M227" i="2"/>
  <c r="M226" i="2"/>
  <c r="M225" i="2"/>
  <c r="M224" i="2"/>
  <c r="M223" i="2"/>
  <c r="M222" i="2"/>
  <c r="M221" i="2"/>
  <c r="M220" i="2"/>
  <c r="M219" i="2"/>
  <c r="M218" i="2"/>
  <c r="M217" i="2"/>
  <c r="M216" i="2"/>
  <c r="M215" i="2"/>
  <c r="M214" i="2"/>
  <c r="M213" i="2"/>
  <c r="M212" i="2"/>
  <c r="M211" i="2"/>
  <c r="M210" i="2"/>
  <c r="M209" i="2"/>
  <c r="M208" i="2"/>
  <c r="M207" i="2"/>
  <c r="M206" i="2"/>
  <c r="M205" i="2"/>
  <c r="M204" i="2"/>
  <c r="M203" i="2"/>
  <c r="M202" i="2"/>
  <c r="M201" i="2"/>
  <c r="M200" i="2"/>
  <c r="M199" i="2"/>
  <c r="M198" i="2"/>
  <c r="M197" i="2"/>
  <c r="M196" i="2"/>
  <c r="M195" i="2"/>
  <c r="M194" i="2"/>
  <c r="M193" i="2"/>
  <c r="M192" i="2"/>
  <c r="M191" i="2"/>
  <c r="M190" i="2"/>
  <c r="M189" i="2"/>
  <c r="M188" i="2"/>
  <c r="M187" i="2"/>
  <c r="M186" i="2"/>
  <c r="M185" i="2"/>
  <c r="M184" i="2"/>
  <c r="M183" i="2"/>
  <c r="M182" i="2"/>
  <c r="M181" i="2"/>
  <c r="M180" i="2"/>
  <c r="M179" i="2"/>
  <c r="M178" i="2"/>
  <c r="M177" i="2"/>
  <c r="M176" i="2"/>
  <c r="M175" i="2"/>
  <c r="M174" i="2"/>
  <c r="M173" i="2"/>
  <c r="M172" i="2"/>
  <c r="M171" i="2"/>
  <c r="M170" i="2"/>
  <c r="M169" i="2"/>
  <c r="M168" i="2"/>
  <c r="M167" i="2"/>
  <c r="M166" i="2"/>
  <c r="M165" i="2"/>
  <c r="M164" i="2"/>
  <c r="M163" i="2"/>
  <c r="M162" i="2"/>
  <c r="M161" i="2"/>
  <c r="M160" i="2"/>
  <c r="M159" i="2"/>
  <c r="M158" i="2"/>
  <c r="M157" i="2"/>
  <c r="M156" i="2"/>
  <c r="M155" i="2"/>
  <c r="M154" i="2"/>
  <c r="M153" i="2"/>
  <c r="M152" i="2"/>
  <c r="M151" i="2"/>
  <c r="M150" i="2"/>
  <c r="M149" i="2"/>
  <c r="M148" i="2"/>
  <c r="M147" i="2"/>
  <c r="M146" i="2"/>
  <c r="M145" i="2"/>
  <c r="M144" i="2"/>
  <c r="M143" i="2"/>
  <c r="M142" i="2"/>
  <c r="M141" i="2"/>
  <c r="M140" i="2"/>
  <c r="M139" i="2"/>
  <c r="M138" i="2"/>
  <c r="M137"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<sst xmlns="http://schemas.openxmlformats.org/spreadsheetml/2006/main" count="16267" uniqueCount="51">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</sst>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R&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[Zoe_Dingaan_Excel_Project.xlsx]Pivot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"R"#\ ##0.00</c:formatCode>
                <c:ptCount val="2"/>
                <c:pt idx="0">
                  <c:v>53440</c:v>
                </c:pt>
                <c:pt idx="1">
                  <c:v>56208.178438661707</c:v>
                </c:pt>
              </c:numCache>
            </c:numRef>
          </c:val>
          <c:extLst>
            <c:ext xmlns:c16="http://schemas.microsoft.com/office/drawing/2014/chart" uri="{C3380CC4-5D6E-409C-BE32-E72D297353CC}">
              <c16:uniqueId val="{00000000-F39B-F64E-A82B-ADCA4132FB1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"R"#\ ##0.00</c:formatCode>
                <c:ptCount val="2"/>
                <c:pt idx="0">
                  <c:v>55774.058577405856</c:v>
                </c:pt>
                <c:pt idx="1">
                  <c:v>60123.966942148763</c:v>
                </c:pt>
              </c:numCache>
            </c:numRef>
          </c:val>
          <c:extLst>
            <c:ext xmlns:c16="http://schemas.microsoft.com/office/drawing/2014/chart" uri="{C3380CC4-5D6E-409C-BE32-E72D297353CC}">
              <c16:uniqueId val="{00000001-F39B-F64E-A82B-ADCA4132FB17}"/>
            </c:ext>
          </c:extLst>
        </c:ser>
        <c:dLbls>
          <c:showLegendKey val="0"/>
          <c:showVal val="0"/>
          <c:showCatName val="0"/>
          <c:showSerName val="0"/>
          <c:showPercent val="0"/>
          <c:showBubbleSize val="0"/>
        </c:dLbls>
        <c:gapWidth val="219"/>
        <c:overlap val="-27"/>
        <c:axId val="45716736"/>
        <c:axId val="43835712"/>
      </c:barChart>
      <c:catAx>
        <c:axId val="45716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35712"/>
        <c:crosses val="autoZero"/>
        <c:auto val="1"/>
        <c:lblAlgn val="ctr"/>
        <c:lblOffset val="100"/>
        <c:noMultiLvlLbl val="0"/>
      </c:catAx>
      <c:valAx>
        <c:axId val="43835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167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[Zoe_Dingaan_Excel_Project.xlsx]Pivot Table!PivotTable5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Table'!$B$26:$B$27</c:f>
              <c:strCache>
                <c:ptCount val="1"/>
                <c:pt idx="0">
                  <c:v>No</c:v>
                </c:pt>
              </c:strCache>
            </c:strRef>
          </c:tx>
          <c:spPr>
            <a:ln w="28575" cap="rnd">
              <a:solidFill>
                <a:schemeClr val="accent1"/>
              </a:solidFill>
              <a:round/>
            </a:ln>
            <a:effectLst/>
          </c:spPr>
          <c:marker>
            <c:symbol val="none"/>
          </c:marker>
          <c:cat>
            <c:strRef>
              <c:f>'Pivot Table'!$A$28:$A$33</c:f>
              <c:strCache>
                <c:ptCount val="5"/>
                <c:pt idx="0">
                  <c:v>0-1 Miles</c:v>
                </c:pt>
                <c:pt idx="1">
                  <c:v>1-2 Miles</c:v>
                </c:pt>
                <c:pt idx="2">
                  <c:v>2-5 Miles</c:v>
                </c:pt>
                <c:pt idx="3">
                  <c:v>5-10 Miles</c:v>
                </c:pt>
                <c:pt idx="4">
                  <c:v>More than 10 Miles</c:v>
                </c:pt>
              </c:strCache>
            </c:strRef>
          </c:cat>
          <c:val>
            <c:numRef>
              <c:f>'Pivot Table'!$B$28:$B$33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0A1-FD47-B428-199EB5E68336}"/>
            </c:ext>
          </c:extLst>
        </c:ser>
        <c:ser>
          <c:idx val="1"/>
          <c:order val="1"/>
          <c:tx>
            <c:strRef>
              <c:f>'Pivot Table'!$C$26:$C$27</c:f>
              <c:strCache>
                <c:ptCount val="1"/>
                <c:pt idx="0">
                  <c:v>Yes</c:v>
                </c:pt>
              </c:strCache>
            </c:strRef>
          </c:tx>
          <c:spPr>
            <a:ln w="28575" cap="rnd">
              <a:solidFill>
                <a:schemeClr val="accent2"/>
              </a:solidFill>
              <a:round/>
            </a:ln>
            <a:effectLst/>
          </c:spPr>
          <c:marker>
            <c:symbol val="none"/>
          </c:marker>
          <c:cat>
            <c:strRef>
              <c:f>'Pivot Table'!$A$28:$A$33</c:f>
              <c:strCache>
                <c:ptCount val="5"/>
                <c:pt idx="0">
                  <c:v>0-1 Miles</c:v>
                </c:pt>
                <c:pt idx="1">
                  <c:v>1-2 Miles</c:v>
                </c:pt>
                <c:pt idx="2">
                  <c:v>2-5 Miles</c:v>
                </c:pt>
                <c:pt idx="3">
                  <c:v>5-10 Miles</c:v>
                </c:pt>
                <c:pt idx="4">
                  <c:v>More than 10 Miles</c:v>
                </c:pt>
              </c:strCache>
            </c:strRef>
          </c:cat>
          <c:val>
            <c:numRef>
              <c:f>'Pivot Table'!$C$28:$C$33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0A1-FD47-B428-199EB5E68336}"/>
            </c:ext>
          </c:extLst>
        </c:ser>
        <c:dLbls>
          <c:showLegendKey val="0"/>
          <c:showVal val="0"/>
          <c:showCatName val="0"/>
          <c:showSerName val="0"/>
          <c:showPercent val="0"/>
          <c:showBubbleSize val="0"/>
        </c:dLbls>
        <c:smooth val="0"/>
        <c:axId val="50552704"/>
        <c:axId val="50554496"/>
      </c:lineChart>
      <c:catAx>
        <c:axId val="505527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54496"/>
        <c:crosses val="autoZero"/>
        <c:auto val="1"/>
        <c:lblAlgn val="ctr"/>
        <c:lblOffset val="100"/>
        <c:noMultiLvlLbl val="0"/>
      </c:catAx>
      <c:valAx>
        <c:axId val="5055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5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[Zoe_Dingaan_Excel_Project.xlsx]Pivot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Table'!$B$52:$B$53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Table'!$A$54:$A$57</c:f>
              <c:strCache>
                <c:ptCount val="3"/>
                <c:pt idx="0">
                  <c:v>Adolescent</c:v>
                </c:pt>
                <c:pt idx="1">
                  <c:v>Middle Age</c:v>
                </c:pt>
                <c:pt idx="2">
                  <c:v>Old</c:v>
                </c:pt>
              </c:strCache>
            </c:strRef>
          </c:cat>
          <c:val>
            <c:numRef>
              <c:f>'Pivot Table'!$B$54:$B$57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2EE-344A-A4AA-CE9EA4DF51B5}"/>
            </c:ext>
          </c:extLst>
        </c:ser>
        <c:ser>
          <c:idx val="1"/>
          <c:order val="1"/>
          <c:tx>
            <c:strRef>
              <c:f>'Pivot Table'!$C$52:$C$53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Table'!$A$54:$A$57</c:f>
              <c:strCache>
                <c:ptCount val="3"/>
                <c:pt idx="0">
                  <c:v>Adolescent</c:v>
                </c:pt>
                <c:pt idx="1">
                  <c:v>Middle Age</c:v>
                </c:pt>
                <c:pt idx="2">
                  <c:v>Old</c:v>
                </c:pt>
              </c:strCache>
            </c:strRef>
          </c:cat>
          <c:val>
            <c:numRef>
              <c:f>'Pivot Table'!$C$54:$C$57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2EE-344A-A4AA-CE9EA4DF51B5}"/>
            </c:ext>
          </c:extLst>
        </c:ser>
        <c:dLbls>
          <c:showLegendKey val="0"/>
          <c:showVal val="0"/>
          <c:showCatName val="0"/>
          <c:showSerName val="0"/>
          <c:showPercent val="0"/>
          <c:showBubbleSize val="0"/>
        </c:dLbls>
        <c:marker val="1"/>
        <c:smooth val="0"/>
        <c:axId val="1985269695"/>
        <c:axId val="1985271935"/>
      </c:lineChart>
      <c:catAx>
        <c:axId val="1985269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271935"/>
        <c:crosses val="autoZero"/>
        <c:auto val="1"/>
        <c:lblAlgn val="ctr"/>
        <c:lblOffset val="100"/>
        <c:noMultiLvlLbl val="0"/>
      </c:catAx>
      <c:valAx>
        <c:axId val="1985271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269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[Zoe_Dingaan_Excel_Project.xlsx]Pivot Table!PivotTable4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Average Income Per Purchase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Table'!$A$5:$A$7</c:f>
              <c:strCache>
                <c:ptCount val="2"/>
                <c:pt idx="0">
                  <c:v>Female</c:v>
                </c:pt>
                <c:pt idx="1">
                  <c:v>Male</c:v>
                </c:pt>
              </c:strCache>
            </c:strRef>
          </c:cat>
          <c:val>
            <c:numRef>
              <c:f>'Pivot Table'!$B$5:$B$7</c:f>
              <c:numCache>
                <c:formatCode>"R"#\ ##0.00</c:formatCode>
                <c:ptCount val="2"/>
                <c:pt idx="0">
                  <c:v>53440</c:v>
                </c:pt>
                <c:pt idx="1">
                  <c:v>56208.178438661707</c:v>
                </c:pt>
              </c:numCache>
            </c:numRef>
          </c:val>
          <c:extLst>
            <c:ext xmlns:c16="http://schemas.microsoft.com/office/drawing/2014/chart" uri="{C3380CC4-5D6E-409C-BE32-E72D297353CC}">
              <c16:uniqueId val="{00000000-4202-F54C-BD48-B949AE8C3FFE}"/>
            </c:ext>
          </c:extLst>
        </c:ser>
        <c:ser>
          <c:idx val="1"/>
          <c:order val="1"/>
          <c:tx>
            <c:strRef>
              <c:f>'Pivot Table'!$C$3:$C$4</c:f>
              <c:strCache>
                <c:ptCount val="1"/>
                <c:pt idx="0">
                  <c:v>Yes</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Table'!$A$5:$A$7</c:f>
              <c:strCache>
                <c:ptCount val="2"/>
                <c:pt idx="0">
                  <c:v>Female</c:v>
                </c:pt>
                <c:pt idx="1">
                  <c:v>Male</c:v>
                </c:pt>
              </c:strCache>
            </c:strRef>
          </c:cat>
          <c:val>
            <c:numRef>
              <c:f>'Pivot Table'!$C$5:$C$7</c:f>
              <c:numCache>
                <c:formatCode>"R"#\ ##0.00</c:formatCode>
                <c:ptCount val="2"/>
                <c:pt idx="0">
                  <c:v>55774.058577405856</c:v>
                </c:pt>
                <c:pt idx="1">
                  <c:v>60123.966942148763</c:v>
                </c:pt>
              </c:numCache>
            </c:numRef>
          </c:val>
          <c:extLst>
            <c:ext xmlns:c16="http://schemas.microsoft.com/office/drawing/2014/chart" uri="{C3380CC4-5D6E-409C-BE32-E72D297353CC}">
              <c16:uniqueId val="{00000001-4202-F54C-BD48-B949AE8C3FFE}"/>
            </c:ext>
          </c:extLst>
        </c:ser>
        <c:dLbls>
          <c:dLblPos val="inEnd"/>
          <c:showLegendKey val="0"/>
          <c:showVal val="1"/>
          <c:showCatName val="0"/>
          <c:showSerName val="0"/>
          <c:showPercent val="0"/>
          <c:showBubbleSize val="0"/>
        </c:dLbls>
        <c:gapWidth val="65"/>
        <c:axId val="45716736"/>
        <c:axId val="43835712"/>
      </c:barChart>
      <c:catAx>
        <c:axId val="457167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3835712"/>
        <c:crosses val="autoZero"/>
        <c:auto val="1"/>
        <c:lblAlgn val="ctr"/>
        <c:lblOffset val="100"/>
        <c:noMultiLvlLbl val="0"/>
      </c:catAx>
      <c:valAx>
        <c:axId val="438357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quot;R&quot;#\ ##0.00" sourceLinked="1"/>
        <c:majorTickMark val="none"/>
        <c:minorTickMark val="none"/>
        <c:tickLblPos val="nextTo"/>
        <c:crossAx val="45716736"/>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[Zoe_Dingaan_Excel_Project.xlsx]Pivot Table!PivotTable5</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Customer Commute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31750" cap="rnd">
            <a:solidFill>
              <a:schemeClr val="accent6"/>
            </a:solidFill>
            <a:round/>
          </a:ln>
          <a:effectLst/>
        </c:spPr>
        <c:marker>
          <c:symbol val="circle"/>
          <c:size val="17"/>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Table'!$B$26:$B$27</c:f>
              <c:strCache>
                <c:ptCount val="1"/>
                <c:pt idx="0">
                  <c:v>No</c:v>
                </c:pt>
              </c:strCache>
            </c:strRef>
          </c:tx>
          <c:spPr>
            <a:ln w="31750" cap="rnd">
              <a:solidFill>
                <a:schemeClr val="accent6"/>
              </a:solidFill>
              <a:round/>
            </a:ln>
            <a:effectLst/>
          </c:spPr>
          <c:marker>
            <c:symbol val="circle"/>
            <c:size val="17"/>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Table'!$A$28:$A$33</c:f>
              <c:strCache>
                <c:ptCount val="5"/>
                <c:pt idx="0">
                  <c:v>0-1 Miles</c:v>
                </c:pt>
                <c:pt idx="1">
                  <c:v>1-2 Miles</c:v>
                </c:pt>
                <c:pt idx="2">
                  <c:v>2-5 Miles</c:v>
                </c:pt>
                <c:pt idx="3">
                  <c:v>5-10 Miles</c:v>
                </c:pt>
                <c:pt idx="4">
                  <c:v>More than 10 Miles</c:v>
                </c:pt>
              </c:strCache>
            </c:strRef>
          </c:cat>
          <c:val>
            <c:numRef>
              <c:f>'Pivot Table'!$B$28:$B$33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7-7B7E-4F42-B5DA-10D558E05EF1}"/>
            </c:ext>
          </c:extLst>
        </c:ser>
        <c:ser>
          <c:idx val="1"/>
          <c:order val="1"/>
          <c:tx>
            <c:strRef>
              <c:f>'Pivot Table'!$C$26:$C$27</c:f>
              <c:strCache>
                <c:ptCount val="1"/>
                <c:pt idx="0">
                  <c:v>Yes</c:v>
                </c:pt>
              </c:strCache>
            </c:strRef>
          </c:tx>
          <c:spPr>
            <a:ln w="31750" cap="rnd">
              <a:solidFill>
                <a:schemeClr val="accent5"/>
              </a:solidFill>
              <a:round/>
            </a:ln>
            <a:effectLst/>
          </c:spPr>
          <c:marker>
            <c:symbol val="circle"/>
            <c:size val="17"/>
            <c:spPr>
              <a:solidFill>
                <a:schemeClr val="accent5"/>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Table'!$A$28:$A$33</c:f>
              <c:strCache>
                <c:ptCount val="5"/>
                <c:pt idx="0">
                  <c:v>0-1 Miles</c:v>
                </c:pt>
                <c:pt idx="1">
                  <c:v>1-2 Miles</c:v>
                </c:pt>
                <c:pt idx="2">
                  <c:v>2-5 Miles</c:v>
                </c:pt>
                <c:pt idx="3">
                  <c:v>5-10 Miles</c:v>
                </c:pt>
                <c:pt idx="4">
                  <c:v>More than 10 Miles</c:v>
                </c:pt>
              </c:strCache>
            </c:strRef>
          </c:cat>
          <c:val>
            <c:numRef>
              <c:f>'Pivot Table'!$C$28:$C$33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9-7B7E-4F42-B5DA-10D558E05EF1}"/>
            </c:ext>
          </c:extLst>
        </c:ser>
        <c:dLbls>
          <c:dLblPos val="ctr"/>
          <c:showLegendKey val="0"/>
          <c:showVal val="1"/>
          <c:showCatName val="0"/>
          <c:showSerName val="0"/>
          <c:showPercent val="0"/>
          <c:showBubbleSize val="0"/>
        </c:dLbls>
        <c:marker val="1"/>
        <c:smooth val="0"/>
        <c:axId val="1985269695"/>
        <c:axId val="1985271935"/>
      </c:lineChart>
      <c:catAx>
        <c:axId val="198526969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85271935"/>
        <c:crosses val="autoZero"/>
        <c:auto val="1"/>
        <c:lblAlgn val="ctr"/>
        <c:lblOffset val="100"/>
        <c:noMultiLvlLbl val="0"/>
      </c:catAx>
      <c:valAx>
        <c:axId val="198527193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8526969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[Zoe_Dingaan_Excel_Project.xlsx]Pivot Table!PivotTable6</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Customer Age Brackets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6"/>
            </a:solidFill>
            <a:round/>
          </a:ln>
          <a:effectLst/>
        </c:spPr>
        <c:marker>
          <c:symbol val="circle"/>
          <c:size val="17"/>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Table'!$B$52:$B$53</c:f>
              <c:strCache>
                <c:ptCount val="1"/>
                <c:pt idx="0">
                  <c:v>No</c:v>
                </c:pt>
              </c:strCache>
            </c:strRef>
          </c:tx>
          <c:spPr>
            <a:ln w="31750" cap="rnd">
              <a:solidFill>
                <a:schemeClr val="accent6"/>
              </a:solidFill>
              <a:round/>
            </a:ln>
            <a:effectLst/>
          </c:spPr>
          <c:marker>
            <c:symbol val="circle"/>
            <c:size val="17"/>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Table'!$A$54:$A$57</c:f>
              <c:strCache>
                <c:ptCount val="3"/>
                <c:pt idx="0">
                  <c:v>Adolescent</c:v>
                </c:pt>
                <c:pt idx="1">
                  <c:v>Middle Age</c:v>
                </c:pt>
                <c:pt idx="2">
                  <c:v>Old</c:v>
                </c:pt>
              </c:strCache>
            </c:strRef>
          </c:cat>
          <c:val>
            <c:numRef>
              <c:f>'Pivot Table'!$B$54:$B$57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A30E-7F40-8082-7413262A8B5D}"/>
            </c:ext>
          </c:extLst>
        </c:ser>
        <c:ser>
          <c:idx val="1"/>
          <c:order val="1"/>
          <c:tx>
            <c:strRef>
              <c:f>'Pivot Table'!$C$52:$C$53</c:f>
              <c:strCache>
                <c:ptCount val="1"/>
                <c:pt idx="0">
                  <c:v>Yes</c:v>
                </c:pt>
              </c:strCache>
            </c:strRef>
          </c:tx>
          <c:spPr>
            <a:ln w="31750" cap="rnd">
              <a:solidFill>
                <a:schemeClr val="accent5"/>
              </a:solidFill>
              <a:round/>
            </a:ln>
            <a:effectLst/>
          </c:spPr>
          <c:marker>
            <c:symbol val="circle"/>
            <c:size val="17"/>
            <c:spPr>
              <a:solidFill>
                <a:schemeClr val="accent5"/>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Table'!$A$54:$A$57</c:f>
              <c:strCache>
                <c:ptCount val="3"/>
                <c:pt idx="0">
                  <c:v>Adolescent</c:v>
                </c:pt>
                <c:pt idx="1">
                  <c:v>Middle Age</c:v>
                </c:pt>
                <c:pt idx="2">
                  <c:v>Old</c:v>
                </c:pt>
              </c:strCache>
            </c:strRef>
          </c:cat>
          <c:val>
            <c:numRef>
              <c:f>'Pivot Table'!$C$54:$C$57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A30E-7F40-8082-7413262A8B5D}"/>
            </c:ext>
          </c:extLst>
        </c:ser>
        <c:dLbls>
          <c:dLblPos val="ctr"/>
          <c:showLegendKey val="0"/>
          <c:showVal val="1"/>
          <c:showCatName val="0"/>
          <c:showSerName val="0"/>
          <c:showPercent val="0"/>
          <c:showBubbleSize val="0"/>
        </c:dLbls>
        <c:marker val="1"/>
        <c:smooth val="0"/>
        <c:axId val="1985269695"/>
        <c:axId val="1985271935"/>
      </c:lineChart>
      <c:catAx>
        <c:axId val="198526969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85271935"/>
        <c:crosses val="autoZero"/>
        <c:auto val="1"/>
        <c:lblAlgn val="ctr"/>
        <c:lblOffset val="100"/>
        <c:noMultiLvlLbl val="0"/>
      </c:catAx>
      <c:valAx>
        <c:axId val="198527193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8526969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292100</xdr:colOff>
      <xdr:row>1</xdr:row>
      <xdr:rowOff>12700</xdr:rowOff>
    </xdr:from>
    <xdr:to>
      <xdr:col>12</xdr:col>
      <xdr:colOff>711200</xdr:colOff>
      <xdr:row>20</xdr:row>
      <xdr:rowOff>114300</xdr:rowOff>
    </xdr:to>
    <xdr:graphicFrame macro="">
      <xdr:nvGraphicFramePr>
        <xdr:cNvPr id="2" name="Chart 1">
          <a:extLst>
            <a:ext uri="{FF2B5EF4-FFF2-40B4-BE49-F238E27FC236}">
              <a16:creationId xmlns:a16="http://schemas.microsoft.com/office/drawing/2014/main" id="{F60FED28-D2B6-636A-3CE0-07A9F50E4E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749300</xdr:colOff>
      <xdr:row>23</xdr:row>
      <xdr:rowOff>12700</xdr:rowOff>
    </xdr:from>
    <xdr:to>
      <xdr:col>11</xdr:col>
      <xdr:colOff>596900</xdr:colOff>
      <xdr:row>42</xdr:row>
      <xdr:rowOff>12700</xdr:rowOff>
    </xdr:to>
    <xdr:graphicFrame macro="">
      <xdr:nvGraphicFramePr>
        <xdr:cNvPr id="4" name="Chart 3">
          <a:extLst>
            <a:ext uri="{FF2B5EF4-FFF2-40B4-BE49-F238E27FC236}">
              <a16:creationId xmlns:a16="http://schemas.microsoft.com/office/drawing/2014/main" id="{8632F783-7980-EB5B-2A8F-C923152C37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330200</xdr:colOff>
      <xdr:row>48</xdr:row>
      <xdr:rowOff>38100</xdr:rowOff>
    </xdr:from>
    <xdr:to>
      <xdr:col>12</xdr:col>
      <xdr:colOff>215900</xdr:colOff>
      <xdr:row>64</xdr:row>
      <xdr:rowOff>127000</xdr:rowOff>
    </xdr:to>
    <xdr:graphicFrame macro="">
      <xdr:nvGraphicFramePr>
        <xdr:cNvPr id="5" name="Chart 4">
          <a:extLst>
            <a:ext uri="{FF2B5EF4-FFF2-40B4-BE49-F238E27FC236}">
              <a16:creationId xmlns:a16="http://schemas.microsoft.com/office/drawing/2014/main" id="{059D3190-06E1-B1C8-B007-BD80950BBE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588537</xdr:colOff>
      <xdr:row>7</xdr:row>
      <xdr:rowOff>16076</xdr:rowOff>
    </xdr:from>
    <xdr:to>
      <xdr:col>9</xdr:col>
      <xdr:colOff>418171</xdr:colOff>
      <xdr:row>28</xdr:row>
      <xdr:rowOff>170366</xdr:rowOff>
    </xdr:to>
    <xdr:graphicFrame macro="">
      <xdr:nvGraphicFramePr>
        <xdr:cNvPr id="2" name="Chart 1">
          <a:extLst>
            <a:ext uri="{FF2B5EF4-FFF2-40B4-BE49-F238E27FC236}">
              <a16:creationId xmlns:a16="http://schemas.microsoft.com/office/drawing/2014/main" id="{39176FD6-6260-FE49-B228-CB717BB34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587361</xdr:colOff>
      <xdr:row>29</xdr:row>
      <xdr:rowOff>92339</xdr:rowOff>
    </xdr:from>
    <xdr:to>
      <xdr:col>17</xdr:col>
      <xdr:colOff>29799</xdr:colOff>
      <xdr:row>53</xdr:row>
      <xdr:rowOff>30387</xdr:rowOff>
    </xdr:to>
    <xdr:graphicFrame macro="">
      <xdr:nvGraphicFramePr>
        <xdr:cNvPr id="3" name="Chart 2">
          <a:extLst>
            <a:ext uri="{FF2B5EF4-FFF2-40B4-BE49-F238E27FC236}">
              <a16:creationId xmlns:a16="http://schemas.microsoft.com/office/drawing/2014/main" id="{94742D5C-93AE-944C-8D88-FF857B866B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525409</xdr:colOff>
      <xdr:row>7</xdr:row>
      <xdr:rowOff>31566</xdr:rowOff>
    </xdr:from>
    <xdr:to>
      <xdr:col>17</xdr:col>
      <xdr:colOff>14313</xdr:colOff>
      <xdr:row>28</xdr:row>
      <xdr:rowOff>186442</xdr:rowOff>
    </xdr:to>
    <xdr:graphicFrame macro="">
      <xdr:nvGraphicFramePr>
        <xdr:cNvPr id="4" name="Chart 3">
          <a:extLst>
            <a:ext uri="{FF2B5EF4-FFF2-40B4-BE49-F238E27FC236}">
              <a16:creationId xmlns:a16="http://schemas.microsoft.com/office/drawing/2014/main" id="{AC3D864F-118E-1B44-B25B-FBE4BFB4D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69075</xdr:colOff>
      <xdr:row>7</xdr:row>
      <xdr:rowOff>43985</xdr:rowOff>
    </xdr:from>
    <xdr:to>
      <xdr:col>2</xdr:col>
      <xdr:colOff>480122</xdr:colOff>
      <xdr:row>13</xdr:row>
      <xdr:rowOff>61951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1100CB1B-CD3E-F90E-E1E8-F4B4EC73C78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69075" y="1394365"/>
              <a:ext cx="2050794" cy="11754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44604</xdr:colOff>
      <xdr:row>21</xdr:row>
      <xdr:rowOff>149612</xdr:rowOff>
    </xdr:from>
    <xdr:to>
      <xdr:col>2</xdr:col>
      <xdr:colOff>449146</xdr:colOff>
      <xdr:row>31</xdr:row>
      <xdr:rowOff>108416</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A7C823A6-4AC1-2F13-7102-CFB8303586C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4604" y="4200751"/>
              <a:ext cx="2044289" cy="188791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47083</xdr:colOff>
      <xdr:row>13</xdr:row>
      <xdr:rowOff>167579</xdr:rowOff>
    </xdr:from>
    <xdr:to>
      <xdr:col>2</xdr:col>
      <xdr:colOff>464634</xdr:colOff>
      <xdr:row>21</xdr:row>
      <xdr:rowOff>15488</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5E8B7D8C-34CC-89DF-3CF4-10D91DB6E41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7083" y="2675427"/>
              <a:ext cx="2057298" cy="1391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oë Dingaan" refreshedDate="46091.698938541667" createdVersion="8" refreshedVersion="8" minRefreshableVersion="3" recordCount="1000" xr:uid="{521A7CC8-EC46-5043-8BD9-3687469DCD8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iddle 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2171021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897CC8-6084-454A-88B1-7D926CAE4196}" name="PivotTable5"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6:D3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7">
        <item x="0"/>
        <item x="3"/>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F12915-AE8A-4A43-A58A-1B13FABFD8B3}" name="PivotTable4"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BBE3C8-890B-3C48-94BE-946E9A4C89A9}" name="PivotTable6"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52:D5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40A2F7F-3864-9240-BDAD-67275D997003}" sourceName="Marital Status">
  <pivotTables>
    <pivotTable tabId="3" name="PivotTable4"/>
    <pivotTable tabId="3" name="PivotTable5"/>
    <pivotTable tabId="3" name="PivotTable6"/>
  </pivotTables>
  <data>
    <tabular pivotCacheId="21710211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9571664-DD74-D248-A035-D692FA3CFBA9}" sourceName="Education">
  <pivotTables>
    <pivotTable tabId="3" name="PivotTable4"/>
    <pivotTable tabId="3" name="PivotTable5"/>
    <pivotTable tabId="3" name="PivotTable6"/>
  </pivotTables>
  <data>
    <tabular pivotCacheId="21710211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0BC6BE8-C5CD-F74D-A1B3-19093F8F57FE}" sourceName="Region">
  <pivotTables>
    <pivotTable tabId="3" name="PivotTable4"/>
    <pivotTable tabId="3" name="PivotTable5"/>
    <pivotTable tabId="3" name="PivotTable6"/>
  </pivotTables>
  <data>
    <tabular pivotCacheId="21710211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0621D56-CAE2-B444-BA49-B6DF5FFEAFBA}" cache="Slicer_Marital_Status" caption="Marital Status" style="SlicerStyleLight4" rowHeight="230716"/>
  <slicer name="Education" xr10:uid="{21D65EB1-474E-9B44-BA79-13A801165650}" cache="Slicer_Education" caption="Education" style="SlicerStyleLight2" rowHeight="230716"/>
  <slicer name="Region" xr10:uid="{E0DA9FD4-DC73-B44F-9088-B465AADF6777}" cache="Slicer_Region" caption="Region" style="SlicerStyleLight6"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6EAE1-1326-2141-BFD2-56663E5A445B}">
  <dimension ref="A1:N1001"/>
  <sheetViews>
    <sheetView workbookViewId="0">
      <selection activeCell="O8" sqref="O8"/>
    </sheetView>
  </sheetViews>
  <sheetFormatPr baseColWidth="10" defaultColWidth="11.83203125" defaultRowHeight="15" x14ac:dyDescent="0.2"/>
  <cols>
    <col min="1" max="1" width="19.33203125" customWidth="1"/>
    <col min="2" max="2" width="15.6640625" customWidth="1"/>
    <col min="4" max="4" width="11.83203125" style="3"/>
    <col min="5" max="5" width="14.33203125" customWidth="1"/>
    <col min="6" max="6" width="20.33203125" customWidth="1"/>
    <col min="7" max="7" width="15.83203125" customWidth="1"/>
    <col min="10" max="10" width="19.1640625" customWidth="1"/>
    <col min="11" max="11" width="15" customWidth="1"/>
    <col min="12" max="12" width="13.83203125" customWidth="1"/>
    <col min="13" max="13" width="18.1640625" customWidth="1"/>
    <col min="14" max="14" width="20" customWidth="1"/>
  </cols>
  <sheetData>
    <row r="1" spans="1:14" x14ac:dyDescent="0.2">
      <c r="A1" t="s">
        <v>0</v>
      </c>
      <c r="B1" t="s">
        <v>1</v>
      </c>
      <c r="C1" t="s">
        <v>2</v>
      </c>
      <c r="D1" s="3" t="s">
        <v>3</v>
      </c>
      <c r="E1" t="s">
        <v>4</v>
      </c>
      <c r="F1" t="s">
        <v>5</v>
      </c>
      <c r="G1" t="s">
        <v>6</v>
      </c>
      <c r="H1" t="s">
        <v>7</v>
      </c>
      <c r="I1" t="s">
        <v>8</v>
      </c>
      <c r="J1" t="s">
        <v>9</v>
      </c>
      <c r="K1" t="s">
        <v>10</v>
      </c>
      <c r="L1" t="s">
        <v>11</v>
      </c>
      <c r="M1" t="s">
        <v>40</v>
      </c>
      <c r="N1" t="s">
        <v>12</v>
      </c>
    </row>
    <row r="2" spans="1:14" x14ac:dyDescent="0.2">
      <c r="A2">
        <v>12496</v>
      </c>
      <c r="B2" t="s">
        <v>36</v>
      </c>
      <c r="C2" t="s">
        <v>39</v>
      </c>
      <c r="D2" s="3">
        <v>40000</v>
      </c>
      <c r="E2">
        <v>1</v>
      </c>
      <c r="F2" t="s">
        <v>13</v>
      </c>
      <c r="G2" t="s">
        <v>14</v>
      </c>
      <c r="H2" t="s">
        <v>15</v>
      </c>
      <c r="I2">
        <v>0</v>
      </c>
      <c r="J2" t="s">
        <v>16</v>
      </c>
      <c r="K2" t="s">
        <v>17</v>
      </c>
      <c r="L2">
        <v>42</v>
      </c>
      <c r="M2" t="str">
        <f t="shared" ref="M2:M65" si="0">IF(L2&gt;54, "Old",IF(L2&gt;31, "Middle Age",IF(L2&lt;31,"Adolescent","Middle Age")))</f>
        <v>Middle Age</v>
      </c>
      <c r="N2" t="s">
        <v>18</v>
      </c>
    </row>
    <row r="3" spans="1:14" x14ac:dyDescent="0.2">
      <c r="A3">
        <v>24107</v>
      </c>
      <c r="B3" t="s">
        <v>36</v>
      </c>
      <c r="C3" t="s">
        <v>38</v>
      </c>
      <c r="D3" s="3">
        <v>30000</v>
      </c>
      <c r="E3">
        <v>3</v>
      </c>
      <c r="F3" t="s">
        <v>19</v>
      </c>
      <c r="G3" t="s">
        <v>20</v>
      </c>
      <c r="H3" t="s">
        <v>15</v>
      </c>
      <c r="I3">
        <v>1</v>
      </c>
      <c r="J3" t="s">
        <v>16</v>
      </c>
      <c r="K3" t="s">
        <v>17</v>
      </c>
      <c r="L3">
        <v>43</v>
      </c>
      <c r="M3" t="str">
        <f t="shared" si="0"/>
        <v>Middle Age</v>
      </c>
      <c r="N3" t="s">
        <v>18</v>
      </c>
    </row>
    <row r="4" spans="1:14" x14ac:dyDescent="0.2">
      <c r="A4">
        <v>14177</v>
      </c>
      <c r="B4" t="s">
        <v>36</v>
      </c>
      <c r="C4" t="s">
        <v>38</v>
      </c>
      <c r="D4" s="3">
        <v>80000</v>
      </c>
      <c r="E4">
        <v>5</v>
      </c>
      <c r="F4" t="s">
        <v>19</v>
      </c>
      <c r="G4" t="s">
        <v>21</v>
      </c>
      <c r="H4" t="s">
        <v>18</v>
      </c>
      <c r="I4">
        <v>2</v>
      </c>
      <c r="J4" t="s">
        <v>22</v>
      </c>
      <c r="K4" t="s">
        <v>17</v>
      </c>
      <c r="L4">
        <v>60</v>
      </c>
      <c r="M4" t="str">
        <f t="shared" si="0"/>
        <v>Old</v>
      </c>
      <c r="N4" t="s">
        <v>18</v>
      </c>
    </row>
    <row r="5" spans="1:14" x14ac:dyDescent="0.2">
      <c r="A5">
        <v>24381</v>
      </c>
      <c r="B5" t="s">
        <v>37</v>
      </c>
      <c r="C5" t="s">
        <v>38</v>
      </c>
      <c r="D5" s="3">
        <v>70000</v>
      </c>
      <c r="E5">
        <v>0</v>
      </c>
      <c r="F5" t="s">
        <v>13</v>
      </c>
      <c r="G5" t="s">
        <v>21</v>
      </c>
      <c r="H5" t="s">
        <v>15</v>
      </c>
      <c r="I5">
        <v>1</v>
      </c>
      <c r="J5" t="s">
        <v>23</v>
      </c>
      <c r="K5" t="s">
        <v>24</v>
      </c>
      <c r="L5">
        <v>41</v>
      </c>
      <c r="M5" t="str">
        <f t="shared" si="0"/>
        <v>Middle Age</v>
      </c>
      <c r="N5" t="s">
        <v>15</v>
      </c>
    </row>
    <row r="6" spans="1:14" x14ac:dyDescent="0.2">
      <c r="A6">
        <v>25597</v>
      </c>
      <c r="B6" t="s">
        <v>37</v>
      </c>
      <c r="C6" t="s">
        <v>38</v>
      </c>
      <c r="D6" s="3">
        <v>30000</v>
      </c>
      <c r="E6">
        <v>0</v>
      </c>
      <c r="F6" t="s">
        <v>13</v>
      </c>
      <c r="G6" t="s">
        <v>20</v>
      </c>
      <c r="H6" t="s">
        <v>18</v>
      </c>
      <c r="I6">
        <v>0</v>
      </c>
      <c r="J6" t="s">
        <v>16</v>
      </c>
      <c r="K6" t="s">
        <v>17</v>
      </c>
      <c r="L6">
        <v>36</v>
      </c>
      <c r="M6" t="str">
        <f t="shared" si="0"/>
        <v>Middle Age</v>
      </c>
      <c r="N6" t="s">
        <v>15</v>
      </c>
    </row>
    <row r="7" spans="1:14" x14ac:dyDescent="0.2">
      <c r="A7">
        <v>13507</v>
      </c>
      <c r="B7" t="s">
        <v>36</v>
      </c>
      <c r="C7" t="s">
        <v>39</v>
      </c>
      <c r="D7" s="3">
        <v>10000</v>
      </c>
      <c r="E7">
        <v>2</v>
      </c>
      <c r="F7" t="s">
        <v>19</v>
      </c>
      <c r="G7" t="s">
        <v>25</v>
      </c>
      <c r="H7" t="s">
        <v>15</v>
      </c>
      <c r="I7">
        <v>0</v>
      </c>
      <c r="J7" t="s">
        <v>26</v>
      </c>
      <c r="K7" t="s">
        <v>17</v>
      </c>
      <c r="L7">
        <v>50</v>
      </c>
      <c r="M7" t="str">
        <f t="shared" si="0"/>
        <v>Middle Age</v>
      </c>
      <c r="N7" t="s">
        <v>18</v>
      </c>
    </row>
    <row r="8" spans="1:14" x14ac:dyDescent="0.2">
      <c r="A8">
        <v>27974</v>
      </c>
      <c r="B8" t="s">
        <v>37</v>
      </c>
      <c r="C8" t="s">
        <v>38</v>
      </c>
      <c r="D8" s="3">
        <v>160000</v>
      </c>
      <c r="E8">
        <v>2</v>
      </c>
      <c r="F8" t="s">
        <v>27</v>
      </c>
      <c r="G8" t="s">
        <v>28</v>
      </c>
      <c r="H8" t="s">
        <v>15</v>
      </c>
      <c r="I8">
        <v>4</v>
      </c>
      <c r="J8" t="s">
        <v>16</v>
      </c>
      <c r="K8" t="s">
        <v>24</v>
      </c>
      <c r="L8">
        <v>33</v>
      </c>
      <c r="M8" t="str">
        <f t="shared" si="0"/>
        <v>Middle Age</v>
      </c>
      <c r="N8" t="s">
        <v>15</v>
      </c>
    </row>
    <row r="9" spans="1:14" x14ac:dyDescent="0.2">
      <c r="A9">
        <v>19364</v>
      </c>
      <c r="B9" t="s">
        <v>36</v>
      </c>
      <c r="C9" t="s">
        <v>38</v>
      </c>
      <c r="D9" s="3">
        <v>40000</v>
      </c>
      <c r="E9">
        <v>1</v>
      </c>
      <c r="F9" t="s">
        <v>13</v>
      </c>
      <c r="G9" t="s">
        <v>14</v>
      </c>
      <c r="H9" t="s">
        <v>15</v>
      </c>
      <c r="I9">
        <v>0</v>
      </c>
      <c r="J9" t="s">
        <v>16</v>
      </c>
      <c r="K9" t="s">
        <v>17</v>
      </c>
      <c r="L9">
        <v>43</v>
      </c>
      <c r="M9" t="str">
        <f t="shared" si="0"/>
        <v>Middle Age</v>
      </c>
      <c r="N9" t="s">
        <v>15</v>
      </c>
    </row>
    <row r="10" spans="1:14" x14ac:dyDescent="0.2">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
      <c r="A66">
        <v>14927</v>
      </c>
      <c r="B66" t="s">
        <v>36</v>
      </c>
      <c r="C66" t="s">
        <v>39</v>
      </c>
      <c r="D66" s="3">
        <v>30000</v>
      </c>
      <c r="E66">
        <v>1</v>
      </c>
      <c r="F66" t="s">
        <v>13</v>
      </c>
      <c r="G66" t="s">
        <v>20</v>
      </c>
      <c r="H66" t="s">
        <v>15</v>
      </c>
      <c r="I66">
        <v>0</v>
      </c>
      <c r="J66" t="s">
        <v>16</v>
      </c>
      <c r="K66" t="s">
        <v>17</v>
      </c>
      <c r="L66">
        <v>37</v>
      </c>
      <c r="M66" t="str">
        <f t="shared" ref="M66:M129" si="1">IF(L66&gt;54, "Old",IF(L66&gt;31, "Middle Age",IF(L66&lt;31,"Adolescent","Middle Age")))</f>
        <v>Middle Age</v>
      </c>
      <c r="N66" t="s">
        <v>15</v>
      </c>
    </row>
    <row r="67" spans="1:14" x14ac:dyDescent="0.2">
      <c r="A67">
        <v>29337</v>
      </c>
      <c r="B67" t="s">
        <v>37</v>
      </c>
      <c r="C67" t="s">
        <v>38</v>
      </c>
      <c r="D67" s="3">
        <v>30000</v>
      </c>
      <c r="E67">
        <v>2</v>
      </c>
      <c r="F67" t="s">
        <v>19</v>
      </c>
      <c r="G67" t="s">
        <v>20</v>
      </c>
      <c r="H67" t="s">
        <v>15</v>
      </c>
      <c r="I67">
        <v>2</v>
      </c>
      <c r="J67" t="s">
        <v>23</v>
      </c>
      <c r="K67" t="s">
        <v>24</v>
      </c>
      <c r="L67">
        <v>68</v>
      </c>
      <c r="M67" t="str">
        <f t="shared" si="1"/>
        <v>Old</v>
      </c>
      <c r="N67" t="s">
        <v>18</v>
      </c>
    </row>
    <row r="68" spans="1:14" x14ac:dyDescent="0.2">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38</v>
      </c>
      <c r="D130" s="3">
        <v>10000</v>
      </c>
      <c r="E130">
        <v>2</v>
      </c>
      <c r="F130" t="s">
        <v>19</v>
      </c>
      <c r="G130" t="s">
        <v>25</v>
      </c>
      <c r="H130" t="s">
        <v>15</v>
      </c>
      <c r="I130">
        <v>1</v>
      </c>
      <c r="J130" t="s">
        <v>16</v>
      </c>
      <c r="K130" t="s">
        <v>17</v>
      </c>
      <c r="L130">
        <v>52</v>
      </c>
      <c r="M130" t="str">
        <f t="shared" ref="M130:M193" si="2">IF(L130&gt;54, "Old",IF(L130&gt;31, "Middle Age",IF(L130&lt;31,"Adolescent","Middle Age")))</f>
        <v>Middle Age</v>
      </c>
      <c r="N130" t="s">
        <v>15</v>
      </c>
    </row>
    <row r="131" spans="1:14" x14ac:dyDescent="0.2">
      <c r="A131">
        <v>26818</v>
      </c>
      <c r="B131" t="s">
        <v>37</v>
      </c>
      <c r="C131" t="s">
        <v>38</v>
      </c>
      <c r="D131" s="3">
        <v>10000</v>
      </c>
      <c r="E131">
        <v>3</v>
      </c>
      <c r="F131" t="s">
        <v>27</v>
      </c>
      <c r="G131" t="s">
        <v>25</v>
      </c>
      <c r="H131" t="s">
        <v>15</v>
      </c>
      <c r="I131">
        <v>1</v>
      </c>
      <c r="J131" t="s">
        <v>16</v>
      </c>
      <c r="K131" t="s">
        <v>17</v>
      </c>
      <c r="L131">
        <v>39</v>
      </c>
      <c r="M131" t="str">
        <f t="shared" si="2"/>
        <v>Middle Age</v>
      </c>
      <c r="N131" t="s">
        <v>15</v>
      </c>
    </row>
    <row r="132" spans="1:14" x14ac:dyDescent="0.2">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39</v>
      </c>
      <c r="D194" s="3">
        <v>80000</v>
      </c>
      <c r="E194">
        <v>5</v>
      </c>
      <c r="F194" t="s">
        <v>13</v>
      </c>
      <c r="G194" t="s">
        <v>28</v>
      </c>
      <c r="H194" t="s">
        <v>15</v>
      </c>
      <c r="I194">
        <v>2</v>
      </c>
      <c r="J194" t="s">
        <v>46</v>
      </c>
      <c r="K194" t="s">
        <v>17</v>
      </c>
      <c r="L194">
        <v>62</v>
      </c>
      <c r="M194" t="str">
        <f t="shared" ref="M194:M257" si="3">IF(L194&gt;54, "Old",IF(L194&gt;31, "Middle Age",IF(L194&lt;31,"Adolescent","Middle Age")))</f>
        <v>Old</v>
      </c>
      <c r="N194" t="s">
        <v>18</v>
      </c>
    </row>
    <row r="195" spans="1:14" x14ac:dyDescent="0.2">
      <c r="A195">
        <v>26032</v>
      </c>
      <c r="B195" t="s">
        <v>36</v>
      </c>
      <c r="C195" t="s">
        <v>39</v>
      </c>
      <c r="D195" s="3">
        <v>70000</v>
      </c>
      <c r="E195">
        <v>5</v>
      </c>
      <c r="F195" t="s">
        <v>13</v>
      </c>
      <c r="G195" t="s">
        <v>21</v>
      </c>
      <c r="H195" t="s">
        <v>15</v>
      </c>
      <c r="I195">
        <v>4</v>
      </c>
      <c r="J195" t="s">
        <v>46</v>
      </c>
      <c r="K195" t="s">
        <v>24</v>
      </c>
      <c r="L195">
        <v>41</v>
      </c>
      <c r="M195" t="str">
        <f t="shared" si="3"/>
        <v>Middle Age</v>
      </c>
      <c r="N195" t="s">
        <v>18</v>
      </c>
    </row>
    <row r="196" spans="1:14" x14ac:dyDescent="0.2">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38</v>
      </c>
      <c r="D258" s="3">
        <v>20000</v>
      </c>
      <c r="E258">
        <v>1</v>
      </c>
      <c r="F258" t="s">
        <v>31</v>
      </c>
      <c r="G258" t="s">
        <v>20</v>
      </c>
      <c r="H258" t="s">
        <v>15</v>
      </c>
      <c r="I258">
        <v>0</v>
      </c>
      <c r="J258" t="s">
        <v>16</v>
      </c>
      <c r="K258" t="s">
        <v>17</v>
      </c>
      <c r="L258">
        <v>43</v>
      </c>
      <c r="M258" t="str">
        <f t="shared" ref="M258:M321" si="4">IF(L258&gt;54, "Old",IF(L258&gt;31, "Middle Age",IF(L258&lt;31,"Adolescent","Middle Age")))</f>
        <v>Middle Age</v>
      </c>
      <c r="N258" t="s">
        <v>18</v>
      </c>
    </row>
    <row r="259" spans="1:14" x14ac:dyDescent="0.2">
      <c r="A259">
        <v>14164</v>
      </c>
      <c r="B259" t="s">
        <v>37</v>
      </c>
      <c r="C259" t="s">
        <v>39</v>
      </c>
      <c r="D259" s="3">
        <v>50000</v>
      </c>
      <c r="E259">
        <v>0</v>
      </c>
      <c r="F259" t="s">
        <v>31</v>
      </c>
      <c r="G259" t="s">
        <v>14</v>
      </c>
      <c r="H259" t="s">
        <v>15</v>
      </c>
      <c r="I259">
        <v>0</v>
      </c>
      <c r="J259" t="s">
        <v>16</v>
      </c>
      <c r="K259" t="s">
        <v>17</v>
      </c>
      <c r="L259">
        <v>36</v>
      </c>
      <c r="M259" t="str">
        <f t="shared" si="4"/>
        <v>Middle Age</v>
      </c>
      <c r="N259" t="s">
        <v>15</v>
      </c>
    </row>
    <row r="260" spans="1:14" x14ac:dyDescent="0.2">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38</v>
      </c>
      <c r="D322" s="3">
        <v>100000</v>
      </c>
      <c r="E322">
        <v>0</v>
      </c>
      <c r="F322" t="s">
        <v>31</v>
      </c>
      <c r="G322" t="s">
        <v>28</v>
      </c>
      <c r="H322" t="s">
        <v>15</v>
      </c>
      <c r="I322">
        <v>0</v>
      </c>
      <c r="J322" t="s">
        <v>22</v>
      </c>
      <c r="K322" t="s">
        <v>24</v>
      </c>
      <c r="L322">
        <v>40</v>
      </c>
      <c r="M322" t="str">
        <f t="shared" ref="M322:M385" si="5">IF(L322&gt;54, "Old",IF(L322&gt;31, "Middle Age",IF(L322&lt;31,"Adolescent","Middle Age")))</f>
        <v>Middle Age</v>
      </c>
      <c r="N322" t="s">
        <v>15</v>
      </c>
    </row>
    <row r="323" spans="1:14" x14ac:dyDescent="0.2">
      <c r="A323">
        <v>16675</v>
      </c>
      <c r="B323" t="s">
        <v>37</v>
      </c>
      <c r="C323" t="s">
        <v>39</v>
      </c>
      <c r="D323" s="3">
        <v>160000</v>
      </c>
      <c r="E323">
        <v>0</v>
      </c>
      <c r="F323" t="s">
        <v>31</v>
      </c>
      <c r="G323" t="s">
        <v>28</v>
      </c>
      <c r="H323" t="s">
        <v>18</v>
      </c>
      <c r="I323">
        <v>3</v>
      </c>
      <c r="J323" t="s">
        <v>16</v>
      </c>
      <c r="K323" t="s">
        <v>24</v>
      </c>
      <c r="L323">
        <v>47</v>
      </c>
      <c r="M323" t="str">
        <f t="shared" si="5"/>
        <v>Middle Age</v>
      </c>
      <c r="N323" t="s">
        <v>15</v>
      </c>
    </row>
    <row r="324" spans="1:14" x14ac:dyDescent="0.2">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39</v>
      </c>
      <c r="D386" s="3">
        <v>10000</v>
      </c>
      <c r="E386">
        <v>0</v>
      </c>
      <c r="F386" t="s">
        <v>19</v>
      </c>
      <c r="G386" t="s">
        <v>25</v>
      </c>
      <c r="H386" t="s">
        <v>18</v>
      </c>
      <c r="I386">
        <v>1</v>
      </c>
      <c r="J386" t="s">
        <v>16</v>
      </c>
      <c r="K386" t="s">
        <v>24</v>
      </c>
      <c r="L386">
        <v>28</v>
      </c>
      <c r="M386" t="str">
        <f t="shared" ref="M386:M449" si="6">IF(L386&gt;54, "Old",IF(L386&gt;31, "Middle Age",IF(L386&lt;31,"Adolescent","Middle Age")))</f>
        <v>Adolescent</v>
      </c>
      <c r="N386" t="s">
        <v>15</v>
      </c>
    </row>
    <row r="387" spans="1:14" x14ac:dyDescent="0.2">
      <c r="A387">
        <v>18018</v>
      </c>
      <c r="B387" t="s">
        <v>37</v>
      </c>
      <c r="C387" t="s">
        <v>38</v>
      </c>
      <c r="D387" s="3">
        <v>30000</v>
      </c>
      <c r="E387">
        <v>3</v>
      </c>
      <c r="F387" t="s">
        <v>19</v>
      </c>
      <c r="G387" t="s">
        <v>20</v>
      </c>
      <c r="H387" t="s">
        <v>15</v>
      </c>
      <c r="I387">
        <v>0</v>
      </c>
      <c r="J387" t="s">
        <v>16</v>
      </c>
      <c r="K387" t="s">
        <v>17</v>
      </c>
      <c r="L387">
        <v>43</v>
      </c>
      <c r="M387" t="str">
        <f t="shared" si="6"/>
        <v>Middle Age</v>
      </c>
      <c r="N387" t="s">
        <v>18</v>
      </c>
    </row>
    <row r="388" spans="1:14" x14ac:dyDescent="0.2">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39</v>
      </c>
      <c r="D450" s="3">
        <v>30000</v>
      </c>
      <c r="E450">
        <v>3</v>
      </c>
      <c r="F450" t="s">
        <v>31</v>
      </c>
      <c r="G450" t="s">
        <v>20</v>
      </c>
      <c r="H450" t="s">
        <v>15</v>
      </c>
      <c r="I450">
        <v>0</v>
      </c>
      <c r="J450" t="s">
        <v>16</v>
      </c>
      <c r="K450" t="s">
        <v>17</v>
      </c>
      <c r="L450">
        <v>46</v>
      </c>
      <c r="M450" t="str">
        <f t="shared" ref="M450:M513" si="7">IF(L450&gt;54, "Old",IF(L450&gt;31, "Middle Age",IF(L450&lt;31,"Adolescent","Middle Age")))</f>
        <v>Middle Age</v>
      </c>
      <c r="N450" t="s">
        <v>18</v>
      </c>
    </row>
    <row r="451" spans="1:14" x14ac:dyDescent="0.2">
      <c r="A451">
        <v>12497</v>
      </c>
      <c r="B451" t="s">
        <v>36</v>
      </c>
      <c r="C451" t="s">
        <v>39</v>
      </c>
      <c r="D451" s="3">
        <v>40000</v>
      </c>
      <c r="E451">
        <v>1</v>
      </c>
      <c r="F451" t="s">
        <v>13</v>
      </c>
      <c r="G451" t="s">
        <v>14</v>
      </c>
      <c r="H451" t="s">
        <v>15</v>
      </c>
      <c r="I451">
        <v>0</v>
      </c>
      <c r="J451" t="s">
        <v>16</v>
      </c>
      <c r="K451" t="s">
        <v>17</v>
      </c>
      <c r="L451">
        <v>42</v>
      </c>
      <c r="M451" t="str">
        <f t="shared" si="7"/>
        <v>Middle Age</v>
      </c>
      <c r="N451" t="s">
        <v>18</v>
      </c>
    </row>
    <row r="452" spans="1:14" x14ac:dyDescent="0.2">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39</v>
      </c>
      <c r="D514" s="3">
        <v>60000</v>
      </c>
      <c r="E514">
        <v>1</v>
      </c>
      <c r="F514" t="s">
        <v>19</v>
      </c>
      <c r="G514" t="s">
        <v>14</v>
      </c>
      <c r="H514" t="s">
        <v>15</v>
      </c>
      <c r="I514">
        <v>1</v>
      </c>
      <c r="J514" t="s">
        <v>16</v>
      </c>
      <c r="K514" t="s">
        <v>32</v>
      </c>
      <c r="L514">
        <v>45</v>
      </c>
      <c r="M514" t="str">
        <f t="shared" ref="M514:M577" si="8">IF(L514&gt;54, "Old",IF(L514&gt;31, "Middle Age",IF(L514&lt;31,"Adolescent","Middle Age")))</f>
        <v>Middle Age</v>
      </c>
      <c r="N514" t="s">
        <v>15</v>
      </c>
    </row>
    <row r="515" spans="1:14" x14ac:dyDescent="0.2">
      <c r="A515">
        <v>13353</v>
      </c>
      <c r="B515" t="s">
        <v>37</v>
      </c>
      <c r="C515" t="s">
        <v>39</v>
      </c>
      <c r="D515" s="3">
        <v>60000</v>
      </c>
      <c r="E515">
        <v>4</v>
      </c>
      <c r="F515" t="s">
        <v>31</v>
      </c>
      <c r="G515" t="s">
        <v>28</v>
      </c>
      <c r="H515" t="s">
        <v>15</v>
      </c>
      <c r="I515">
        <v>2</v>
      </c>
      <c r="J515" t="s">
        <v>46</v>
      </c>
      <c r="K515" t="s">
        <v>32</v>
      </c>
      <c r="L515">
        <v>61</v>
      </c>
      <c r="M515" t="str">
        <f t="shared" si="8"/>
        <v>Old</v>
      </c>
      <c r="N515" t="s">
        <v>15</v>
      </c>
    </row>
    <row r="516" spans="1:14" x14ac:dyDescent="0.2">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
      <c r="A578">
        <v>18752</v>
      </c>
      <c r="B578" t="s">
        <v>37</v>
      </c>
      <c r="C578" t="s">
        <v>39</v>
      </c>
      <c r="D578" s="3">
        <v>40000</v>
      </c>
      <c r="E578">
        <v>0</v>
      </c>
      <c r="F578" t="s">
        <v>27</v>
      </c>
      <c r="G578" t="s">
        <v>14</v>
      </c>
      <c r="H578" t="s">
        <v>15</v>
      </c>
      <c r="I578">
        <v>1</v>
      </c>
      <c r="J578" t="s">
        <v>23</v>
      </c>
      <c r="K578" t="s">
        <v>32</v>
      </c>
      <c r="L578">
        <v>31</v>
      </c>
      <c r="M578" t="str">
        <f t="shared" ref="M578:M641" si="9">IF(L578&gt;54, "Old",IF(L578&gt;31, "Middle Age",IF(L578&lt;31,"Adolescent","Middle Age")))</f>
        <v>Middle Age</v>
      </c>
      <c r="N578" t="s">
        <v>18</v>
      </c>
    </row>
    <row r="579" spans="1:14" x14ac:dyDescent="0.2">
      <c r="A579">
        <v>16917</v>
      </c>
      <c r="B579" t="s">
        <v>36</v>
      </c>
      <c r="C579" t="s">
        <v>38</v>
      </c>
      <c r="D579" s="3">
        <v>120000</v>
      </c>
      <c r="E579">
        <v>1</v>
      </c>
      <c r="F579" t="s">
        <v>13</v>
      </c>
      <c r="G579" t="s">
        <v>28</v>
      </c>
      <c r="H579" t="s">
        <v>15</v>
      </c>
      <c r="I579">
        <v>4</v>
      </c>
      <c r="J579" t="s">
        <v>16</v>
      </c>
      <c r="K579" t="s">
        <v>32</v>
      </c>
      <c r="L579">
        <v>38</v>
      </c>
      <c r="M579" t="str">
        <f t="shared" si="9"/>
        <v>Middle Age</v>
      </c>
      <c r="N579" t="s">
        <v>18</v>
      </c>
    </row>
    <row r="580" spans="1:14" x14ac:dyDescent="0.2">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39</v>
      </c>
      <c r="D642" s="3">
        <v>60000</v>
      </c>
      <c r="E642">
        <v>2</v>
      </c>
      <c r="F642" t="s">
        <v>19</v>
      </c>
      <c r="G642" t="s">
        <v>21</v>
      </c>
      <c r="H642" t="s">
        <v>15</v>
      </c>
      <c r="I642">
        <v>2</v>
      </c>
      <c r="J642" t="s">
        <v>22</v>
      </c>
      <c r="K642" t="s">
        <v>32</v>
      </c>
      <c r="L642">
        <v>56</v>
      </c>
      <c r="M642" t="str">
        <f t="shared" ref="M642:M705" si="10">IF(L642&gt;54, "Old",IF(L642&gt;31, "Middle Age",IF(L642&lt;31,"Adolescent","Middle Age")))</f>
        <v>Old</v>
      </c>
      <c r="N642" t="s">
        <v>15</v>
      </c>
    </row>
    <row r="643" spans="1:14" x14ac:dyDescent="0.2">
      <c r="A643">
        <v>21441</v>
      </c>
      <c r="B643" t="s">
        <v>36</v>
      </c>
      <c r="C643" t="s">
        <v>38</v>
      </c>
      <c r="D643" s="3">
        <v>50000</v>
      </c>
      <c r="E643">
        <v>4</v>
      </c>
      <c r="F643" t="s">
        <v>13</v>
      </c>
      <c r="G643" t="s">
        <v>28</v>
      </c>
      <c r="H643" t="s">
        <v>15</v>
      </c>
      <c r="I643">
        <v>2</v>
      </c>
      <c r="J643" t="s">
        <v>46</v>
      </c>
      <c r="K643" t="s">
        <v>32</v>
      </c>
      <c r="L643">
        <v>64</v>
      </c>
      <c r="M643" t="str">
        <f t="shared" si="10"/>
        <v>Old</v>
      </c>
      <c r="N643" t="s">
        <v>18</v>
      </c>
    </row>
    <row r="644" spans="1:14" x14ac:dyDescent="0.2">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39</v>
      </c>
      <c r="D706" s="3">
        <v>40000</v>
      </c>
      <c r="E706">
        <v>0</v>
      </c>
      <c r="F706" t="s">
        <v>13</v>
      </c>
      <c r="G706" t="s">
        <v>21</v>
      </c>
      <c r="H706" t="s">
        <v>15</v>
      </c>
      <c r="I706">
        <v>1</v>
      </c>
      <c r="J706" t="s">
        <v>22</v>
      </c>
      <c r="K706" t="s">
        <v>32</v>
      </c>
      <c r="L706">
        <v>42</v>
      </c>
      <c r="M706" t="str">
        <f t="shared" ref="M706:M769" si="11">IF(L706&gt;54, "Old",IF(L706&gt;31, "Middle Age",IF(L706&lt;31,"Adolescent","Middle Age")))</f>
        <v>Middle Age</v>
      </c>
      <c r="N706" t="s">
        <v>15</v>
      </c>
    </row>
    <row r="707" spans="1:14" x14ac:dyDescent="0.2">
      <c r="A707">
        <v>11199</v>
      </c>
      <c r="B707" t="s">
        <v>36</v>
      </c>
      <c r="C707" t="s">
        <v>39</v>
      </c>
      <c r="D707" s="3">
        <v>70000</v>
      </c>
      <c r="E707">
        <v>4</v>
      </c>
      <c r="F707" t="s">
        <v>13</v>
      </c>
      <c r="G707" t="s">
        <v>28</v>
      </c>
      <c r="H707" t="s">
        <v>15</v>
      </c>
      <c r="I707">
        <v>1</v>
      </c>
      <c r="J707" t="s">
        <v>46</v>
      </c>
      <c r="K707" t="s">
        <v>32</v>
      </c>
      <c r="L707">
        <v>59</v>
      </c>
      <c r="M707" t="str">
        <f t="shared" si="11"/>
        <v>Old</v>
      </c>
      <c r="N707" t="s">
        <v>18</v>
      </c>
    </row>
    <row r="708" spans="1:14" x14ac:dyDescent="0.2">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39</v>
      </c>
      <c r="D770" s="3">
        <v>120000</v>
      </c>
      <c r="E770">
        <v>1</v>
      </c>
      <c r="F770" t="s">
        <v>27</v>
      </c>
      <c r="G770" t="s">
        <v>21</v>
      </c>
      <c r="H770" t="s">
        <v>18</v>
      </c>
      <c r="I770">
        <v>4</v>
      </c>
      <c r="J770" t="s">
        <v>22</v>
      </c>
      <c r="K770" t="s">
        <v>32</v>
      </c>
      <c r="L770">
        <v>45</v>
      </c>
      <c r="M770" t="str">
        <f t="shared" ref="M770:M833" si="12">IF(L770&gt;54, "Old",IF(L770&gt;31, "Middle Age",IF(L770&lt;31,"Adolescent","Middle Age")))</f>
        <v>Middle Age</v>
      </c>
      <c r="N770" t="s">
        <v>18</v>
      </c>
    </row>
    <row r="771" spans="1:14" x14ac:dyDescent="0.2">
      <c r="A771">
        <v>18952</v>
      </c>
      <c r="B771" t="s">
        <v>36</v>
      </c>
      <c r="C771" t="s">
        <v>39</v>
      </c>
      <c r="D771" s="3">
        <v>100000</v>
      </c>
      <c r="E771">
        <v>4</v>
      </c>
      <c r="F771" t="s">
        <v>13</v>
      </c>
      <c r="G771" t="s">
        <v>28</v>
      </c>
      <c r="H771" t="s">
        <v>15</v>
      </c>
      <c r="I771">
        <v>4</v>
      </c>
      <c r="J771" t="s">
        <v>16</v>
      </c>
      <c r="K771" t="s">
        <v>32</v>
      </c>
      <c r="L771">
        <v>40</v>
      </c>
      <c r="M771" t="str">
        <f t="shared" si="12"/>
        <v>Middle Age</v>
      </c>
      <c r="N771" t="s">
        <v>18</v>
      </c>
    </row>
    <row r="772" spans="1:14" x14ac:dyDescent="0.2">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39</v>
      </c>
      <c r="D834" s="3">
        <v>60000</v>
      </c>
      <c r="E834">
        <v>0</v>
      </c>
      <c r="F834" t="s">
        <v>31</v>
      </c>
      <c r="G834" t="s">
        <v>21</v>
      </c>
      <c r="H834" t="s">
        <v>15</v>
      </c>
      <c r="I834">
        <v>0</v>
      </c>
      <c r="J834" t="s">
        <v>16</v>
      </c>
      <c r="K834" t="s">
        <v>32</v>
      </c>
      <c r="L834">
        <v>39</v>
      </c>
      <c r="M834" t="str">
        <f t="shared" ref="M834:M897" si="13">IF(L834&gt;54, "Old",IF(L834&gt;31, "Middle Age",IF(L834&lt;31,"Adolescent","Middle Age")))</f>
        <v>Middle Age</v>
      </c>
      <c r="N834" t="s">
        <v>18</v>
      </c>
    </row>
    <row r="835" spans="1:14" x14ac:dyDescent="0.2">
      <c r="A835">
        <v>27540</v>
      </c>
      <c r="B835" t="s">
        <v>37</v>
      </c>
      <c r="C835" t="s">
        <v>39</v>
      </c>
      <c r="D835" s="3">
        <v>70000</v>
      </c>
      <c r="E835">
        <v>0</v>
      </c>
      <c r="F835" t="s">
        <v>13</v>
      </c>
      <c r="G835" t="s">
        <v>21</v>
      </c>
      <c r="H835" t="s">
        <v>18</v>
      </c>
      <c r="I835">
        <v>1</v>
      </c>
      <c r="J835" t="s">
        <v>16</v>
      </c>
      <c r="K835" t="s">
        <v>32</v>
      </c>
      <c r="L835">
        <v>37</v>
      </c>
      <c r="M835" t="str">
        <f t="shared" si="13"/>
        <v>Middle Age</v>
      </c>
      <c r="N835" t="s">
        <v>15</v>
      </c>
    </row>
    <row r="836" spans="1:14" x14ac:dyDescent="0.2">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39</v>
      </c>
      <c r="D898" s="3">
        <v>50000</v>
      </c>
      <c r="E898">
        <v>1</v>
      </c>
      <c r="F898" t="s">
        <v>13</v>
      </c>
      <c r="G898" t="s">
        <v>14</v>
      </c>
      <c r="H898" t="s">
        <v>15</v>
      </c>
      <c r="I898">
        <v>0</v>
      </c>
      <c r="J898" t="s">
        <v>16</v>
      </c>
      <c r="K898" t="s">
        <v>32</v>
      </c>
      <c r="L898">
        <v>34</v>
      </c>
      <c r="M898" t="str">
        <f t="shared" ref="M898:M961" si="14">IF(L898&gt;54, "Old",IF(L898&gt;31, "Middle Age",IF(L898&lt;31,"Adolescent","Middle Age")))</f>
        <v>Middle Age</v>
      </c>
      <c r="N898" t="s">
        <v>15</v>
      </c>
    </row>
    <row r="899" spans="1:14" x14ac:dyDescent="0.2">
      <c r="A899">
        <v>12029</v>
      </c>
      <c r="B899" t="s">
        <v>36</v>
      </c>
      <c r="C899" t="s">
        <v>38</v>
      </c>
      <c r="D899" s="3">
        <v>30000</v>
      </c>
      <c r="E899">
        <v>0</v>
      </c>
      <c r="F899" t="s">
        <v>29</v>
      </c>
      <c r="G899" t="s">
        <v>20</v>
      </c>
      <c r="H899" t="s">
        <v>18</v>
      </c>
      <c r="I899">
        <v>2</v>
      </c>
      <c r="J899" t="s">
        <v>16</v>
      </c>
      <c r="K899" t="s">
        <v>32</v>
      </c>
      <c r="L899">
        <v>28</v>
      </c>
      <c r="M899" t="str">
        <f t="shared" si="14"/>
        <v>Adolescent</v>
      </c>
      <c r="N899" t="s">
        <v>18</v>
      </c>
    </row>
    <row r="900" spans="1:14" x14ac:dyDescent="0.2">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38</v>
      </c>
      <c r="D962" s="3">
        <v>100000</v>
      </c>
      <c r="E962">
        <v>0</v>
      </c>
      <c r="F962" t="s">
        <v>19</v>
      </c>
      <c r="G962" t="s">
        <v>21</v>
      </c>
      <c r="H962" t="s">
        <v>18</v>
      </c>
      <c r="I962">
        <v>4</v>
      </c>
      <c r="J962" t="s">
        <v>26</v>
      </c>
      <c r="K962" t="s">
        <v>32</v>
      </c>
      <c r="L962">
        <v>45</v>
      </c>
      <c r="M962" t="str">
        <f t="shared" ref="M962:M1025" si="15">IF(L962&gt;54, "Old",IF(L962&gt;31, "Middle Age",IF(L962&lt;31,"Adolescent","Middle Age")))</f>
        <v>Middle Age</v>
      </c>
      <c r="N962" t="s">
        <v>18</v>
      </c>
    </row>
    <row r="963" spans="1:14" x14ac:dyDescent="0.2">
      <c r="A963">
        <v>16651</v>
      </c>
      <c r="B963" t="s">
        <v>36</v>
      </c>
      <c r="C963" t="s">
        <v>39</v>
      </c>
      <c r="D963" s="3">
        <v>120000</v>
      </c>
      <c r="E963">
        <v>2</v>
      </c>
      <c r="F963" t="s">
        <v>13</v>
      </c>
      <c r="G963" t="s">
        <v>28</v>
      </c>
      <c r="H963" t="s">
        <v>15</v>
      </c>
      <c r="I963">
        <v>3</v>
      </c>
      <c r="J963" t="s">
        <v>23</v>
      </c>
      <c r="K963" t="s">
        <v>32</v>
      </c>
      <c r="L963">
        <v>62</v>
      </c>
      <c r="M963" t="str">
        <f t="shared" si="15"/>
        <v>Old</v>
      </c>
      <c r="N963" t="s">
        <v>18</v>
      </c>
    </row>
    <row r="964" spans="1:14" x14ac:dyDescent="0.2">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EBC6EAE1-1326-2141-BFD2-56663E5A445B}">
    <sortState xmlns:xlrd2="http://schemas.microsoft.com/office/spreadsheetml/2017/richdata2" ref="A2:N1001">
      <sortCondition ref="M1:M100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09FEE-9A82-114E-8FA1-4DB44EABF177}">
  <dimension ref="A3:D57"/>
  <sheetViews>
    <sheetView workbookViewId="0">
      <selection activeCell="P20" sqref="P20"/>
    </sheetView>
  </sheetViews>
  <sheetFormatPr baseColWidth="10" defaultRowHeight="15" x14ac:dyDescent="0.2"/>
  <cols>
    <col min="1" max="1" width="19.83203125" bestFit="1" customWidth="1"/>
    <col min="2" max="2" width="14.83203125" bestFit="1" customWidth="1"/>
    <col min="3" max="3" width="4.1640625" bestFit="1" customWidth="1"/>
    <col min="4" max="4" width="10" bestFit="1" customWidth="1"/>
  </cols>
  <sheetData>
    <row r="3" spans="1:4" x14ac:dyDescent="0.2">
      <c r="A3" s="4" t="s">
        <v>43</v>
      </c>
      <c r="B3" s="4" t="s">
        <v>44</v>
      </c>
    </row>
    <row r="4" spans="1:4" x14ac:dyDescent="0.2">
      <c r="A4" s="4" t="s">
        <v>41</v>
      </c>
      <c r="B4" t="s">
        <v>18</v>
      </c>
      <c r="C4" t="s">
        <v>15</v>
      </c>
      <c r="D4" t="s">
        <v>42</v>
      </c>
    </row>
    <row r="5" spans="1:4" x14ac:dyDescent="0.2">
      <c r="A5" s="5" t="s">
        <v>39</v>
      </c>
      <c r="B5" s="3">
        <v>53440</v>
      </c>
      <c r="C5" s="3">
        <v>55774.058577405856</v>
      </c>
      <c r="D5" s="3">
        <v>54580.777096114522</v>
      </c>
    </row>
    <row r="6" spans="1:4" x14ac:dyDescent="0.2">
      <c r="A6" s="5" t="s">
        <v>38</v>
      </c>
      <c r="B6" s="3">
        <v>56208.178438661707</v>
      </c>
      <c r="C6" s="3">
        <v>60123.966942148763</v>
      </c>
      <c r="D6" s="3">
        <v>58062.62230919765</v>
      </c>
    </row>
    <row r="7" spans="1:4" x14ac:dyDescent="0.2">
      <c r="A7" s="5" t="s">
        <v>42</v>
      </c>
      <c r="B7" s="3">
        <v>54874.759152215796</v>
      </c>
      <c r="C7" s="3">
        <v>57962.577962577961</v>
      </c>
      <c r="D7" s="3">
        <v>56360</v>
      </c>
    </row>
    <row r="26" spans="1:4" x14ac:dyDescent="0.2">
      <c r="A26" s="4" t="s">
        <v>45</v>
      </c>
      <c r="B26" s="4" t="s">
        <v>44</v>
      </c>
    </row>
    <row r="27" spans="1:4" x14ac:dyDescent="0.2">
      <c r="A27" s="4" t="s">
        <v>41</v>
      </c>
      <c r="B27" t="s">
        <v>18</v>
      </c>
      <c r="C27" t="s">
        <v>15</v>
      </c>
      <c r="D27" t="s">
        <v>42</v>
      </c>
    </row>
    <row r="28" spans="1:4" x14ac:dyDescent="0.2">
      <c r="A28" s="5" t="s">
        <v>16</v>
      </c>
      <c r="B28">
        <v>166</v>
      </c>
      <c r="C28">
        <v>200</v>
      </c>
      <c r="D28">
        <v>366</v>
      </c>
    </row>
    <row r="29" spans="1:4" x14ac:dyDescent="0.2">
      <c r="A29" s="5" t="s">
        <v>26</v>
      </c>
      <c r="B29">
        <v>92</v>
      </c>
      <c r="C29">
        <v>77</v>
      </c>
      <c r="D29">
        <v>169</v>
      </c>
    </row>
    <row r="30" spans="1:4" x14ac:dyDescent="0.2">
      <c r="A30" s="5" t="s">
        <v>22</v>
      </c>
      <c r="B30">
        <v>67</v>
      </c>
      <c r="C30">
        <v>95</v>
      </c>
      <c r="D30">
        <v>162</v>
      </c>
    </row>
    <row r="31" spans="1:4" x14ac:dyDescent="0.2">
      <c r="A31" s="5" t="s">
        <v>23</v>
      </c>
      <c r="B31">
        <v>116</v>
      </c>
      <c r="C31">
        <v>76</v>
      </c>
      <c r="D31">
        <v>192</v>
      </c>
    </row>
    <row r="32" spans="1:4" x14ac:dyDescent="0.2">
      <c r="A32" s="5" t="s">
        <v>46</v>
      </c>
      <c r="B32">
        <v>78</v>
      </c>
      <c r="C32">
        <v>33</v>
      </c>
      <c r="D32">
        <v>111</v>
      </c>
    </row>
    <row r="33" spans="1:4" x14ac:dyDescent="0.2">
      <c r="A33" s="5" t="s">
        <v>42</v>
      </c>
      <c r="B33">
        <v>519</v>
      </c>
      <c r="C33">
        <v>481</v>
      </c>
      <c r="D33">
        <v>1000</v>
      </c>
    </row>
    <row r="52" spans="1:4" x14ac:dyDescent="0.2">
      <c r="A52" s="4" t="s">
        <v>45</v>
      </c>
      <c r="B52" s="4" t="s">
        <v>44</v>
      </c>
    </row>
    <row r="53" spans="1:4" x14ac:dyDescent="0.2">
      <c r="A53" s="4" t="s">
        <v>41</v>
      </c>
      <c r="B53" t="s">
        <v>18</v>
      </c>
      <c r="C53" t="s">
        <v>15</v>
      </c>
      <c r="D53" t="s">
        <v>42</v>
      </c>
    </row>
    <row r="54" spans="1:4" x14ac:dyDescent="0.2">
      <c r="A54" s="5" t="s">
        <v>47</v>
      </c>
      <c r="B54">
        <v>71</v>
      </c>
      <c r="C54">
        <v>39</v>
      </c>
      <c r="D54">
        <v>110</v>
      </c>
    </row>
    <row r="55" spans="1:4" x14ac:dyDescent="0.2">
      <c r="A55" s="5" t="s">
        <v>48</v>
      </c>
      <c r="B55">
        <v>318</v>
      </c>
      <c r="C55">
        <v>383</v>
      </c>
      <c r="D55">
        <v>701</v>
      </c>
    </row>
    <row r="56" spans="1:4" x14ac:dyDescent="0.2">
      <c r="A56" s="5" t="s">
        <v>49</v>
      </c>
      <c r="B56">
        <v>130</v>
      </c>
      <c r="C56">
        <v>59</v>
      </c>
      <c r="D56">
        <v>189</v>
      </c>
    </row>
    <row r="57" spans="1:4" x14ac:dyDescent="0.2">
      <c r="A57" s="5" t="s">
        <v>42</v>
      </c>
      <c r="B57">
        <v>519</v>
      </c>
      <c r="C57">
        <v>481</v>
      </c>
      <c r="D5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5D1D2-F6BD-344A-8E77-6ED726BC4402}">
  <dimension ref="A1:Q7"/>
  <sheetViews>
    <sheetView showGridLines="0" tabSelected="1" topLeftCell="A7" zoomScale="79" zoomScaleNormal="79" workbookViewId="0">
      <selection activeCell="U16" sqref="U16"/>
    </sheetView>
  </sheetViews>
  <sheetFormatPr baseColWidth="10" defaultRowHeight="15" x14ac:dyDescent="0.2"/>
  <sheetData>
    <row r="1" spans="1:17" ht="15" customHeight="1" x14ac:dyDescent="0.2">
      <c r="A1" s="6" t="s">
        <v>50</v>
      </c>
      <c r="B1" s="7"/>
      <c r="C1" s="7"/>
      <c r="D1" s="7"/>
      <c r="E1" s="7"/>
      <c r="F1" s="7"/>
      <c r="G1" s="7"/>
      <c r="H1" s="7"/>
      <c r="I1" s="7"/>
      <c r="J1" s="7"/>
      <c r="K1" s="7"/>
      <c r="L1" s="7"/>
      <c r="M1" s="7"/>
      <c r="N1" s="7"/>
      <c r="O1" s="7"/>
      <c r="P1" s="7"/>
      <c r="Q1" s="7"/>
    </row>
    <row r="2" spans="1:17" ht="15" customHeight="1" x14ac:dyDescent="0.2">
      <c r="A2" s="7"/>
      <c r="B2" s="7"/>
      <c r="C2" s="7"/>
      <c r="D2" s="7"/>
      <c r="E2" s="7"/>
      <c r="F2" s="7"/>
      <c r="G2" s="7"/>
      <c r="H2" s="7"/>
      <c r="I2" s="7"/>
      <c r="J2" s="7"/>
      <c r="K2" s="7"/>
      <c r="L2" s="7"/>
      <c r="M2" s="7"/>
      <c r="N2" s="7"/>
      <c r="O2" s="7"/>
      <c r="P2" s="7"/>
      <c r="Q2" s="7"/>
    </row>
    <row r="3" spans="1:17" ht="15" customHeight="1" x14ac:dyDescent="0.2">
      <c r="A3" s="7"/>
      <c r="B3" s="7"/>
      <c r="C3" s="7"/>
      <c r="D3" s="7"/>
      <c r="E3" s="7"/>
      <c r="F3" s="7"/>
      <c r="G3" s="7"/>
      <c r="H3" s="7"/>
      <c r="I3" s="7"/>
      <c r="J3" s="7"/>
      <c r="K3" s="7"/>
      <c r="L3" s="7"/>
      <c r="M3" s="7"/>
      <c r="N3" s="7"/>
      <c r="O3" s="7"/>
      <c r="P3" s="7"/>
      <c r="Q3" s="7"/>
    </row>
    <row r="4" spans="1:17" ht="15" customHeight="1" x14ac:dyDescent="0.2">
      <c r="A4" s="7"/>
      <c r="B4" s="7"/>
      <c r="C4" s="7"/>
      <c r="D4" s="7"/>
      <c r="E4" s="7"/>
      <c r="F4" s="7"/>
      <c r="G4" s="7"/>
      <c r="H4" s="7"/>
      <c r="I4" s="7"/>
      <c r="J4" s="7"/>
      <c r="K4" s="7"/>
      <c r="L4" s="7"/>
      <c r="M4" s="7"/>
      <c r="N4" s="7"/>
      <c r="O4" s="7"/>
      <c r="P4" s="7"/>
      <c r="Q4" s="7"/>
    </row>
    <row r="5" spans="1:17" ht="15" customHeight="1" x14ac:dyDescent="0.2">
      <c r="A5" s="7"/>
      <c r="B5" s="7"/>
      <c r="C5" s="7"/>
      <c r="D5" s="7"/>
      <c r="E5" s="7"/>
      <c r="F5" s="7"/>
      <c r="G5" s="7"/>
      <c r="H5" s="7"/>
      <c r="I5" s="7"/>
      <c r="J5" s="7"/>
      <c r="K5" s="7"/>
      <c r="L5" s="7"/>
      <c r="M5" s="7"/>
      <c r="N5" s="7"/>
      <c r="O5" s="7"/>
      <c r="P5" s="7"/>
      <c r="Q5" s="7"/>
    </row>
    <row r="6" spans="1:17" ht="15" customHeight="1" x14ac:dyDescent="0.2">
      <c r="A6" s="7"/>
      <c r="B6" s="7"/>
      <c r="C6" s="7"/>
      <c r="D6" s="7"/>
      <c r="E6" s="7"/>
      <c r="F6" s="7"/>
      <c r="G6" s="7"/>
      <c r="H6" s="7"/>
      <c r="I6" s="7"/>
      <c r="J6" s="7"/>
      <c r="K6" s="7"/>
      <c r="L6" s="7"/>
      <c r="M6" s="7"/>
      <c r="N6" s="7"/>
      <c r="O6" s="7"/>
      <c r="P6" s="7"/>
      <c r="Q6" s="7"/>
    </row>
    <row r="7" spans="1:17" ht="15" customHeight="1" x14ac:dyDescent="0.2">
      <c r="A7" s="7"/>
      <c r="B7" s="7"/>
      <c r="C7" s="7"/>
      <c r="D7" s="7"/>
      <c r="E7" s="7"/>
      <c r="F7" s="7"/>
      <c r="G7" s="7"/>
      <c r="H7" s="7"/>
      <c r="I7" s="7"/>
      <c r="J7" s="7"/>
      <c r="K7" s="7"/>
      <c r="L7" s="7"/>
      <c r="M7" s="7"/>
      <c r="N7" s="7"/>
      <c r="O7" s="7"/>
      <c r="P7" s="7"/>
      <c r="Q7" s="7"/>
    </row>
  </sheetData>
  <mergeCells count="1">
    <mergeCell ref="A1:Q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Zoe Dingaan</cp:lastModifiedBy>
  <dcterms:created xsi:type="dcterms:W3CDTF">2022-03-18T02:50:57Z</dcterms:created>
  <dcterms:modified xsi:type="dcterms:W3CDTF">2026-03-11T23:14:29Z</dcterms:modified>
</cp:coreProperties>
</file>